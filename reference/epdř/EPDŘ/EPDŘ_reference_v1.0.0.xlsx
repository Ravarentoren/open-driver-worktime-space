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dř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<sst xmlns="http://schemas.openxmlformats.org/spreadsheetml/2006/main" count="126" uniqueCount="104">
  <si>
    <t xml:space="preserve">Účel: Referenční podklad pro výpočet mezd profesionálních řidičů dle zákona č. 262/2006 Sb., zákoník práce, v platném znění.</t>
  </si>
  <si>
    <t xml:space="preserve">Evidence pracovní doby  profesionálních řidičů nákladních vozidel</t>
  </si>
  <si>
    <t xml:space="preserve"> Doplnit jméno a příjmení:</t>
  </si>
  <si>
    <t xml:space="preserve">Měsíc:</t>
  </si>
  <si>
    <t xml:space="preserve">Rok:</t>
  </si>
  <si>
    <t xml:space="preserve">TECH minuty kalendářní den celkem </t>
  </si>
  <si>
    <t xml:space="preserve">TECH hodiny kalendářní den celkem dec</t>
  </si>
  <si>
    <t xml:space="preserve">TECH minuty práce přesčas kalendářní den celkem</t>
  </si>
  <si>
    <t xml:space="preserve">TECH hodiny práce přesčas kalendářní den celkem dec</t>
  </si>
  <si>
    <t xml:space="preserve">TECH minuty noc kalendářní den celkem</t>
  </si>
  <si>
    <t xml:space="preserve">TECH hodiny noc kalendářní den celkem dec</t>
  </si>
  <si>
    <t xml:space="preserve">TECH minuty víkend kalendářní den</t>
  </si>
  <si>
    <t xml:space="preserve">TECH hodiny víkend kalendářní den celkem dec</t>
  </si>
  <si>
    <t xml:space="preserve">TECH minuty státní svátky kalendářní den</t>
  </si>
  <si>
    <t xml:space="preserve">TECH hodiny státní svátky kalendářní den celkem dec</t>
  </si>
  <si>
    <t xml:space="preserve">Opis z karty řidiče do tachografu číslo:</t>
  </si>
  <si>
    <t xml:space="preserve">Verze: EPDŘ v1.0.0</t>
  </si>
  <si>
    <t xml:space="preserve">Kalendář</t>
  </si>
  <si>
    <t xml:space="preserve">Pracovni doba 1</t>
  </si>
  <si>
    <t xml:space="preserve">Pracovni doba 2</t>
  </si>
  <si>
    <t xml:space="preserve">Pracovni doba 3</t>
  </si>
  <si>
    <t xml:space="preserve">Odpracovaná doba za kalendářní den celkem</t>
  </si>
  <si>
    <t xml:space="preserve">Práce v noci 1</t>
  </si>
  <si>
    <t xml:space="preserve">Práce v noci 2</t>
  </si>
  <si>
    <t xml:space="preserve">Práce v noci 3</t>
  </si>
  <si>
    <t xml:space="preserve">Práce přesčas</t>
  </si>
  <si>
    <t xml:space="preserve">NOČNÍ PRACOVNÍ DOBA CELKEM</t>
  </si>
  <si>
    <t xml:space="preserve">Prace o víkendu so+ne Celkem</t>
  </si>
  <si>
    <t xml:space="preserve">Práce ve státní svátky Celkem</t>
  </si>
  <si>
    <t xml:space="preserve">Apache License, Version 2.0</t>
  </si>
  <si>
    <t xml:space="preserve">Číslo dne v týdnu </t>
  </si>
  <si>
    <t xml:space="preserve">Typ dne (číslo) </t>
  </si>
  <si>
    <t xml:space="preserve">Typ dne (text) </t>
  </si>
  <si>
    <t xml:space="preserve">Číslo týdne</t>
  </si>
  <si>
    <t xml:space="preserve">Datum</t>
  </si>
  <si>
    <t xml:space="preserve">Den v týdnu </t>
  </si>
  <si>
    <t xml:space="preserve">Státní svátky</t>
  </si>
  <si>
    <t xml:space="preserve">Začátek</t>
  </si>
  <si>
    <t xml:space="preserve">Konec</t>
  </si>
  <si>
    <t xml:space="preserve">Celkem</t>
  </si>
  <si>
    <t xml:space="preserve">Přesčasové hodiny  za kalendařní dny</t>
  </si>
  <si>
    <t xml:space="preserve">ODPRACOVANÁ DOBA CELKEM:</t>
  </si>
  <si>
    <t xml:space="preserve">Celkem - Práce přesčas – (U), Noční pracovní doba – (V),   Pracovní doba o víkekendech – (X), Pracovní doba o svátcích svátcích – (Y):</t>
  </si>
  <si>
    <t xml:space="preserve">⭐ NÁVOD K POUŽITÍ – Automatická pracovní tabulka EVIDENCE PRACOVNÍ DOBY ŘIDIČŮ MEZINÁRODNÍ KAMIONOVÉ DOPRAVY</t>
  </si>
  <si>
    <t xml:space="preserve">Tato tabulka slouží výhradně jako evidence pracovní doby (EPDŘ) a jako technický podklad pro mzdové systémy. </t>
  </si>
  <si>
    <t xml:space="preserve"> Neprovádí výpočet mzdy ani finančních nároků.</t>
  </si>
  <si>
    <t xml:space="preserve">Tato tabulka je plně automatická ve všech výpočtech, pokud jsou zadána korektní vstupní data.</t>
  </si>
  <si>
    <t xml:space="preserve">---</t>
  </si>
  <si>
    <t xml:space="preserve">1. Jméno, příjmení a číslo karty  řidiče do tachografu:</t>
  </si>
  <si>
    <t xml:space="preserve">Do těchto buněk se zadávají jméno a číslo karty řidiče do tachografu.</t>
  </si>
  <si>
    <t xml:space="preserve">N1 - Jméno a Příjmení řidiče nákladního vozidla v mezinárodní kamionové dopravě.</t>
  </si>
  <si>
    <t xml:space="preserve">N2 - Číslo karty řidiče do tachografu.</t>
  </si>
  <si>
    <t xml:space="preserve">2. Řídící datum (buňka E6)</t>
  </si>
  <si>
    <t xml:space="preserve">Buňka E6 je řídicí buňkou pro celý kalendář.</t>
  </si>
  <si>
    <t xml:space="preserve">Zadejte první den požadovaného měsíce (např. 1.7.2025).</t>
  </si>
  <si>
    <t xml:space="preserve">Všechny datumy v měsíci se automaticky doplní.</t>
  </si>
  <si>
    <t xml:space="preserve">Dny v týdnu, státní svátky, měsíc a rok se nastaví také automaticky.</t>
  </si>
  <si>
    <t xml:space="preserve">3. Zadávání pracovních dob</t>
  </si>
  <si>
    <t xml:space="preserve">Do těchto sloupců se zadávají začátky a konce pracovních úseků:</t>
  </si>
  <si>
    <t xml:space="preserve">H – Začátek 1. směny</t>
  </si>
  <si>
    <t xml:space="preserve">I – Konec 1. směny</t>
  </si>
  <si>
    <t xml:space="preserve">K – Začátek 2. úseku</t>
  </si>
  <si>
    <t xml:space="preserve">L – Konec 2. úseku</t>
  </si>
  <si>
    <t xml:space="preserve">Stačí zadat minimální korektní časové údaje (například 06:30, 14:45, 22:00, atd.).</t>
  </si>
  <si>
    <t xml:space="preserve">Tabulka automaticky:</t>
  </si>
  <si>
    <t xml:space="preserve">vypočítá celkové pracovní doby,</t>
  </si>
  <si>
    <t xml:space="preserve">určí víkendy,</t>
  </si>
  <si>
    <t xml:space="preserve">označí státní svátky,</t>
  </si>
  <si>
    <t xml:space="preserve">spočítá součty noční práce, víkendů a svátků.</t>
  </si>
  <si>
    <t xml:space="preserve">4. Kompatibilní aplikace a programy</t>
  </si>
  <si>
    <t xml:space="preserve">Tato tabulka je plně kompatibilní s následujícími aplikacemi:</t>
  </si>
  <si>
    <t xml:space="preserve">✔ Collabora Office</t>
  </si>
  <si>
    <t xml:space="preserve">(Android, Windows, Linux, iOS)</t>
  </si>
  <si>
    <t xml:space="preserve">Nejlepší volba pro systém Android.</t>
  </si>
  <si>
    <t xml:space="preserve">✔ LibreOffice Calc</t>
  </si>
  <si>
    <t xml:space="preserve">(Windows, Linux, Mac)</t>
  </si>
  <si>
    <t xml:space="preserve">Plná podpora všech funkcí a časových výpočtů.</t>
  </si>
  <si>
    <t xml:space="preserve">✔ Microsoft Excel</t>
  </si>
  <si>
    <t xml:space="preserve">(Windows, Mac, Android, Web)</t>
  </si>
  <si>
    <t xml:space="preserve">Funguje v plném rozsahu, včetně časových funkcí.</t>
  </si>
  <si>
    <t xml:space="preserve">✔ Google Sheets</t>
  </si>
  <si>
    <t xml:space="preserve">(Android, Web)</t>
  </si>
  <si>
    <t xml:space="preserve">Podporuje všechny vzorce použité v této tabulce.</t>
  </si>
  <si>
    <t xml:space="preserve">5. TECH sloupce</t>
  </si>
  <si>
    <t xml:space="preserve">Sloupce označené jako TECH slouží k technické kontrole výpočtů, auditu a kompatibilitě mezi tabulkovými aplikacemi. </t>
  </si>
  <si>
    <t xml:space="preserve">Mohou být skryty bez vlivu na výsledky.</t>
  </si>
  <si>
    <t xml:space="preserve">6. Ochrana tabulky (doporučené):</t>
  </si>
  <si>
    <t xml:space="preserve">Tabulka umožňuje ochranu výpočtových buněk proti neúmyslným změnám. </t>
  </si>
  <si>
    <t xml:space="preserve">Z důvodu rozdílných možností jednotlivých aplikací (Collabora Office, LibreOffice, Microsoft Excel) není ochrana nastavena automaticky.</t>
  </si>
  <si>
    <t xml:space="preserve">Pokud je požadováno zamknutí výpočtových buněk, doporučuje se provést ochranu listu v desktopové aplikaci LibreOffice Calc nebo Microsoft Excel dle interních postupů zaměstnavatele.</t>
  </si>
  <si>
    <t xml:space="preserve">   Skrytí technických sloupců (doporučené): </t>
  </si>
  <si>
    <t xml:space="preserve">Tabulka obsahuje technické sloupce sloužící k výpočtům (typ dne, pomocné hodnoty).</t>
  </si>
  <si>
    <t xml:space="preserve">Tyto sloupce nejsou určeny k ručnímu vyplňování ani běžné kontrole.</t>
  </si>
  <si>
    <t xml:space="preserve">Pro zvýšení přehlednosti, je možné tyto sloupce skrýt pomocí standardních funkcí tabulkového programu.</t>
  </si>
  <si>
    <t xml:space="preserve">Skrytí sloupců nemá vliv na správnost výpočtů ani na tisk výsledné evidence.</t>
  </si>
  <si>
    <t xml:space="preserve">7. Poznámky:</t>
  </si>
  <si>
    <t xml:space="preserve">Poznámka ke konvenci:</t>
  </si>
  <si>
    <t xml:space="preserve">Zápis --- označuje, že se hodnota na daný den nevztahuje (nejde o nulu, ale o přehlednost tabulky při každodenním používání v praxi).</t>
  </si>
  <si>
    <t xml:space="preserve">Tabulka neprovádí kontrolu dodržení pracovních limitů, BOZP, ani limitů řízení.</t>
  </si>
  <si>
    <t xml:space="preserve">Přechod pracovní doby přes půlnoc musí být zapsán explicitně rozdělením do dvou kalendářních dnů (24:00 / 00:00).</t>
  </si>
  <si>
    <t xml:space="preserve">Tabulka tento přechod automaticky nedetekuje.</t>
  </si>
  <si>
    <t xml:space="preserve">Upozornění:</t>
  </si>
  <si>
    <t xml:space="preserve">Tvůrce neodpovídá za nesprávnou úpravu vzorců, či chybnou manipulaci se vzorci, nebo za nepravdivá vložená vstupní data, nebo jakýkoliv jiný postup zkreslující matematické, logické a časové výpočty.</t>
  </si>
  <si>
    <t xml:space="preserve">Přejeme všem uživatelům, aby vám tabulka dobře sloužila.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</si>
</sst>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hh:mm:ss"/>
    <numFmt numFmtId="167" formatCode="[hh]:mm:ss"/>
    <numFmt numFmtId="168" formatCode="0.00000;[RED]\-0.00000"/>
    <numFmt numFmtId="169" formatCode="0.00;[RED]\-0.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6"/>
      <name val="Arial"/>
      <family val="2"/>
      <charset val="1"/>
    </font>
    <font>
      <sz val="7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E0E3"/>
        <bgColor rgb="FFCC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266" activeCellId="0" sqref="E26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7.33"/>
    <col collapsed="false" customWidth="true" hidden="false" outlineLevel="0" max="2" min="2" style="2" width="7.11"/>
    <col collapsed="false" customWidth="true" hidden="false" outlineLevel="0" max="3" min="3" style="2" width="14.6"/>
    <col collapsed="false" customWidth="true" hidden="false" outlineLevel="0" max="4" min="4" style="2" width="7.11"/>
    <col collapsed="false" customWidth="true" hidden="false" outlineLevel="0" max="6" min="6" style="2" width="5.62"/>
    <col collapsed="false" customWidth="true" hidden="false" outlineLevel="0" max="7" min="7" style="2" width="16.3"/>
    <col collapsed="false" customWidth="true" hidden="false" outlineLevel="0" max="12" min="8" style="2" width="12.26"/>
    <col collapsed="false" customWidth="true" hidden="false" outlineLevel="0" max="16" min="13" style="3" width="12.26"/>
    <col collapsed="false" customWidth="true" hidden="false" outlineLevel="0" max="17" min="17" style="2" width="13.49"/>
    <col collapsed="false" customWidth="true" hidden="false" outlineLevel="0" max="26" min="19" style="2" width="12.26"/>
    <col collapsed="false" customWidth="true" hidden="false" outlineLevel="0" max="40" min="31" style="2" width="15.32"/>
  </cols>
  <sheetData>
    <row r="1" customFormat="false" ht="27.75" hidden="false" customHeight="true" outlineLevel="0" collapsed="false">
      <c r="A1" s="4" t="str">
        <f aca="false">IF(OR($E$11="",$E$11="---"),"---", DATE( YEAR($E$11), 3, 22 +MOD(19*MOD(YEAR($E$11),19)+24,30) +MOD( 2*MOD(YEAR($E$11),4) +4*MOD(YEAR($E$11),7) +6*MOD(19*MOD(YEAR($E$11),19)+24,30) +5, 7) ))</f>
        <v>---</v>
      </c>
      <c r="B1" s="5" t="s">
        <v>0</v>
      </c>
      <c r="C1" s="5"/>
      <c r="D1" s="6" t="s">
        <v>1</v>
      </c>
      <c r="E1" s="6"/>
      <c r="F1" s="6"/>
      <c r="G1" s="6"/>
      <c r="H1" s="6"/>
      <c r="I1" s="6"/>
      <c r="J1" s="6"/>
      <c r="K1" s="7" t="s">
        <v>2</v>
      </c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 t="s">
        <v>3</v>
      </c>
      <c r="AA1" s="10" t="str">
        <f aca="false">IF($E11="","---",IF($E11&lt;&gt;"",CHOOSE(MONTH($E$11), "Leden","Únor","Březen","Duben","Květen","Červen", "Červenec","Srpen","Září","Říjen","Listopad","Prosinec")))</f>
        <v>---</v>
      </c>
      <c r="AB1" s="10"/>
      <c r="AC1" s="9" t="s">
        <v>4</v>
      </c>
      <c r="AD1" s="10" t="str">
        <f aca="false">IF($E11="","---",IF($E11&lt;&gt;"",YEAR($E$11)))</f>
        <v>---</v>
      </c>
      <c r="AE1" s="11" t="s">
        <v>5</v>
      </c>
      <c r="AF1" s="11" t="s">
        <v>6</v>
      </c>
      <c r="AG1" s="11" t="s">
        <v>7</v>
      </c>
      <c r="AH1" s="11" t="s">
        <v>8</v>
      </c>
      <c r="AI1" s="11" t="s">
        <v>9</v>
      </c>
      <c r="AJ1" s="11" t="s">
        <v>10</v>
      </c>
      <c r="AK1" s="11" t="s">
        <v>11</v>
      </c>
      <c r="AL1" s="11" t="s">
        <v>12</v>
      </c>
      <c r="AM1" s="11" t="s">
        <v>13</v>
      </c>
      <c r="AN1" s="11" t="s">
        <v>14</v>
      </c>
    </row>
    <row r="2" customFormat="false" ht="27.75" hidden="false" customHeight="true" outlineLevel="0" collapsed="false">
      <c r="A2" s="4"/>
      <c r="B2" s="5"/>
      <c r="C2" s="5"/>
      <c r="D2" s="6"/>
      <c r="E2" s="6"/>
      <c r="F2" s="6"/>
      <c r="G2" s="6"/>
      <c r="H2" s="6"/>
      <c r="I2" s="6"/>
      <c r="J2" s="6"/>
      <c r="K2" s="12" t="s">
        <v>15</v>
      </c>
      <c r="L2" s="12"/>
      <c r="M2" s="12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  <c r="AA2" s="10"/>
      <c r="AB2" s="10"/>
      <c r="AC2" s="9"/>
      <c r="AD2" s="9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 customFormat="false" ht="12.75" hidden="false" customHeight="true" outlineLevel="0" collapsed="false">
      <c r="A3" s="4"/>
      <c r="B3" s="13" t="n">
        <v>46023</v>
      </c>
      <c r="C3" s="14" t="s">
        <v>16</v>
      </c>
      <c r="D3" s="15" t="s">
        <v>17</v>
      </c>
      <c r="E3" s="15"/>
      <c r="F3" s="15"/>
      <c r="G3" s="15"/>
      <c r="H3" s="15" t="s">
        <v>18</v>
      </c>
      <c r="I3" s="15"/>
      <c r="J3" s="15"/>
      <c r="K3" s="15" t="s">
        <v>19</v>
      </c>
      <c r="L3" s="15"/>
      <c r="M3" s="15"/>
      <c r="N3" s="15" t="s">
        <v>20</v>
      </c>
      <c r="O3" s="15"/>
      <c r="P3" s="15"/>
      <c r="Q3" s="16" t="s">
        <v>21</v>
      </c>
      <c r="R3" s="15" t="s">
        <v>22</v>
      </c>
      <c r="S3" s="15"/>
      <c r="T3" s="15"/>
      <c r="U3" s="15" t="s">
        <v>23</v>
      </c>
      <c r="V3" s="15"/>
      <c r="W3" s="15"/>
      <c r="X3" s="15" t="s">
        <v>24</v>
      </c>
      <c r="Y3" s="15"/>
      <c r="Z3" s="15"/>
      <c r="AA3" s="17" t="s">
        <v>25</v>
      </c>
      <c r="AB3" s="18" t="s">
        <v>26</v>
      </c>
      <c r="AC3" s="16" t="s">
        <v>27</v>
      </c>
      <c r="AD3" s="16" t="s">
        <v>28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customFormat="false" ht="15" hidden="false" customHeight="true" outlineLevel="0" collapsed="false">
      <c r="A4" s="4"/>
      <c r="B4" s="13" t="s">
        <v>29</v>
      </c>
      <c r="C4" s="13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R4" s="15"/>
      <c r="S4" s="15"/>
      <c r="T4" s="15"/>
      <c r="U4" s="15"/>
      <c r="V4" s="15"/>
      <c r="W4" s="15"/>
      <c r="X4" s="15"/>
      <c r="Y4" s="15"/>
      <c r="Z4" s="15"/>
      <c r="AA4" s="17"/>
      <c r="AB4" s="18"/>
      <c r="AC4" s="16"/>
      <c r="AD4" s="16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customFormat="false" ht="12.75" hidden="false" customHeight="true" outlineLevel="0" collapsed="false">
      <c r="A5" s="19" t="s">
        <v>30</v>
      </c>
      <c r="B5" s="16" t="s">
        <v>31</v>
      </c>
      <c r="C5" s="16" t="s">
        <v>32</v>
      </c>
      <c r="D5" s="19" t="s">
        <v>33</v>
      </c>
      <c r="E5" s="9" t="s">
        <v>34</v>
      </c>
      <c r="F5" s="16" t="s">
        <v>35</v>
      </c>
      <c r="G5" s="16" t="s">
        <v>36</v>
      </c>
      <c r="H5" s="20" t="s">
        <v>37</v>
      </c>
      <c r="I5" s="20" t="s">
        <v>38</v>
      </c>
      <c r="J5" s="15" t="s">
        <v>39</v>
      </c>
      <c r="K5" s="20" t="s">
        <v>37</v>
      </c>
      <c r="L5" s="20" t="s">
        <v>38</v>
      </c>
      <c r="M5" s="16" t="s">
        <v>39</v>
      </c>
      <c r="N5" s="20" t="s">
        <v>37</v>
      </c>
      <c r="O5" s="20" t="s">
        <v>38</v>
      </c>
      <c r="P5" s="16" t="s">
        <v>39</v>
      </c>
      <c r="Q5" s="16"/>
      <c r="R5" s="20" t="s">
        <v>37</v>
      </c>
      <c r="S5" s="20" t="s">
        <v>38</v>
      </c>
      <c r="T5" s="15" t="s">
        <v>39</v>
      </c>
      <c r="U5" s="20" t="s">
        <v>37</v>
      </c>
      <c r="V5" s="20" t="s">
        <v>38</v>
      </c>
      <c r="W5" s="15" t="s">
        <v>39</v>
      </c>
      <c r="X5" s="20" t="s">
        <v>37</v>
      </c>
      <c r="Y5" s="20" t="s">
        <v>38</v>
      </c>
      <c r="Z5" s="15" t="s">
        <v>39</v>
      </c>
      <c r="AA5" s="16" t="s">
        <v>40</v>
      </c>
      <c r="AB5" s="18"/>
      <c r="AC5" s="16"/>
      <c r="AD5" s="16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customFormat="false" ht="15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8"/>
      <c r="AC6" s="16"/>
      <c r="AD6" s="16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customFormat="false" ht="15" hidden="false" customHeight="true" outlineLevel="0" collapsed="false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8"/>
      <c r="AC7" s="16"/>
      <c r="AD7" s="16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customFormat="false" ht="15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8"/>
      <c r="AC8" s="16"/>
      <c r="AD8" s="16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customFormat="false" ht="15" hidden="false" customHeight="tru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8"/>
      <c r="AC9" s="16"/>
      <c r="AD9" s="16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customFormat="false" ht="1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8"/>
      <c r="AC10" s="16"/>
      <c r="AD10" s="16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customFormat="false" ht="15" hidden="false" customHeight="true" outlineLevel="0" collapsed="false">
      <c r="A11" s="19" t="str">
        <f aca="false">IF(OR($E11="",$E11="---"),"---",WEEKDAY($E11,2))</f>
        <v>---</v>
      </c>
      <c r="B11" s="21" t="str">
        <f aca="false">IF(OR($E11="",$E11="---"),"---", IF(AND($A11&gt;5,$G11&lt;&gt;"---"),4, IF($G11&lt;&gt;"---",3, IF($A11&gt;5,2, 1))))</f>
        <v>---</v>
      </c>
      <c r="C11" s="22" t="str">
        <f aca="false">IF($B11="---","---",  IF($B11=4,"SVÁTEK + VÍKEND",  IF($B11=3,"SVÁTEK",  IF($B11=2,"VÍKEND",  "PRACOVNÍ DEN"))))</f>
        <v>---</v>
      </c>
      <c r="D11" s="9" t="str">
        <f aca="false">IF(OR($E11="",$E11="---"),"---",WEEKNUM($E11,2))</f>
        <v>---</v>
      </c>
      <c r="E11" s="23"/>
      <c r="F11" s="21" t="str">
        <f aca="false">IF($E11="","---",IF($E11="---","---",IF($E11&gt;0,CHOOSE(WEEKDAY($E11,2),"Po","Út","St","Čt","Pá","So","Ne"))))</f>
        <v>---</v>
      </c>
      <c r="G11" s="16" t="str">
        <f aca="false">IF($F11="---","---", IF(AND($A$1&lt;&gt;"---",$E11=$A$1-2),"Velký pátek", IF(AND($A$1&lt;&gt;"---",$E11=$A$1+1),"Velikonoční pondělí", IF(AND(DAY($E11)=1, MONTH($E11)=1),"Den obnovy samostatného českého státu / Nový rok", IF(AND(DAY($E11)=1, MONTH($E11)=5),"Svátek práce", IF(AND(DAY($E11)=8, MONTH($E11)=5),"Den vítězství", IF(AND(DAY($E11)=5, MONTH($E11)=7),"Den slovanských věrozvěstů Cyrila a Metoděje", IF(AND(DAY($E11)=6, MONTH($E11)=7),"Den upálení mistra Jana Husa", IF(AND(DAY($E11)=28, MONTH($E11)=9),"Den české státnosti (sv. Václav)", IF(AND(DAY($E11)=28, MONTH($E11)=10),"Den vzniku samostatného československého státu", IF(AND(DAY($E11)=17, MONTH($E11)=11),"Den boje za svobodu a demokracii", IF(AND(DAY($E11)=24, MONTH($E11)=12),"Štědrý den", IF(AND(DAY($E11)=25, MONTH($E11)=12),"1. svátek vánoční", IF(AND(DAY($E11)=26, MONTH($E11)=12),"2. svátek vánoční", "---"))))))))))))))</f>
        <v>---</v>
      </c>
      <c r="H11" s="24"/>
      <c r="I11" s="24"/>
      <c r="J11" s="25" t="n">
        <f aca="false">IF($H11="",0,IF($I11="",0,IF($I11&lt;$H11,"Čas konce je opravdu mensi?",$I11-$H11)))</f>
        <v>0</v>
      </c>
      <c r="K11" s="26"/>
      <c r="L11" s="26"/>
      <c r="M11" s="25" t="n">
        <f aca="false">IF($K11="",0,IF($L11="",0,IF($L11&lt;$K11,"Čas konce je opravdu menší?",$L11-$K11)))</f>
        <v>0</v>
      </c>
      <c r="N11" s="26"/>
      <c r="O11" s="26"/>
      <c r="P11" s="25" t="n">
        <f aca="false">IF($N11="",0,IF($O11="",0,IF($O11&lt;$N11,"Čas konce je opravdu menší?",$O11-$N11)))</f>
        <v>0</v>
      </c>
      <c r="Q11" s="27" t="n">
        <f aca="false">$J11+$M11+$P11</f>
        <v>0</v>
      </c>
      <c r="R11" s="28" t="n">
        <f aca="false">IF(OR($H11="",$I11=""),0, IF($I11&gt;22/24, MAX($H11,22/24), IF($H11&lt;6/24, $H11,0)))</f>
        <v>0</v>
      </c>
      <c r="S11" s="28" t="n">
        <f aca="false">IF(OR($H11="",$I11=""),0,IF($I11&gt;22/24,MIN($I11,1),IF($H11&lt;6/24,MIN($I11,6/24),0)))</f>
        <v>0</v>
      </c>
      <c r="T11" s="27" t="n">
        <f aca="false">IF(OR($H11="",$I11=""),0, 
   MAX(0, MIN($I11,1) - MAX($H11,22/24))
 + MAX(0, MIN($I11,6/24) - MAX($H11,0))
)</f>
        <v>0</v>
      </c>
      <c r="U11" s="28" t="n">
        <f aca="false">IF(OR($K11="",$L11=""),0, IF($L11&gt;22/24, MAX($K11,22/24), IF($K11&lt;6/24, $K11,0)))</f>
        <v>0</v>
      </c>
      <c r="V11" s="28" t="n">
        <f aca="false">IF(OR($K11="",$L11=""),0,IF($L11&gt;22/24,MIN($L11,1),IF($K11&lt;6/24,MIN($L11,6/24),0)))</f>
        <v>0</v>
      </c>
      <c r="W11" s="27" t="n">
        <f aca="false">IF(OR($K11="",$L11=""),0, 
   MAX(0, MIN($L11,1) - MAX($K11,22/24))
 + MAX(0, MIN($L11,6/24) - MAX($K11,0))
)</f>
        <v>0</v>
      </c>
      <c r="X11" s="28" t="n">
        <f aca="false">IF(OR($N11="",$O11=""),0, IF($O11&gt;22/24, MAX($N11,22/24), IF($N11&lt;6/24, $N11,0)))</f>
        <v>0</v>
      </c>
      <c r="Y11" s="28" t="n">
        <f aca="false">IF(OR($N11="",$O11=""),0,IF($O11&gt;22/24,MIN($O11,1),IF($N11&lt;6/24,MIN($O11,6/24),0)))</f>
        <v>0</v>
      </c>
      <c r="Z11" s="27" t="n">
        <f aca="false">IF(OR($N11="",$O11=""),0, 
   MAX(0, MIN($O11,1) - MAX($N11,22/24))
 + MAX(0, MIN($O11,6/24) - MAX($N11,0))
)</f>
        <v>0</v>
      </c>
      <c r="AA11" s="29" t="str">
        <f aca="false">TEXT(INT($AG11/60),"00")  &amp; ":"  &amp; TEXT(MOD($AG11,60),"00")  &amp; ":00"</f>
        <v>00:00:00</v>
      </c>
      <c r="AB11" s="27" t="n">
        <f aca="false">$T11+$W11+$Z11</f>
        <v>0</v>
      </c>
      <c r="AC11" s="27" t="n">
        <f aca="false">IF(OR($F11="So",$F11="Ne"),$Q11,0)</f>
        <v>0</v>
      </c>
      <c r="AD11" s="30" t="n">
        <f aca="false">IF($G11&lt;&gt;"---", $Q11,0)</f>
        <v>0</v>
      </c>
      <c r="AE11" s="31" t="n">
        <f aca="false">($J11*1440) +($M11*1440) +($P11*1440)</f>
        <v>0</v>
      </c>
      <c r="AF11" s="31" t="n">
        <f aca="false">$AE11/60</f>
        <v>0</v>
      </c>
      <c r="AG11" s="31" t="n">
        <f aca="false">IF(OR($B11="", $B11="---"),0,     IF($B11=1,         MAX(0,$AE11 -480),$AE11     ))</f>
        <v>0</v>
      </c>
      <c r="AH11" s="31" t="n">
        <f aca="false">$AG11/60</f>
        <v>0</v>
      </c>
      <c r="AI11" s="31" t="n">
        <f aca="false">($T11+$W11+$Z11)*1440</f>
        <v>0</v>
      </c>
      <c r="AJ11" s="31" t="n">
        <f aca="false">$AI11/60</f>
        <v>0</v>
      </c>
      <c r="AK11" s="31" t="n">
        <f aca="false">($AC11)*1440</f>
        <v>0</v>
      </c>
      <c r="AL11" s="31" t="n">
        <f aca="false">$AK11/60</f>
        <v>0</v>
      </c>
      <c r="AM11" s="31" t="n">
        <f aca="false">($AD11)*1440</f>
        <v>0</v>
      </c>
      <c r="AN11" s="31" t="n">
        <f aca="false">$AM11/60</f>
        <v>0</v>
      </c>
    </row>
    <row r="12" customFormat="false" ht="15" hidden="false" customHeight="true" outlineLevel="0" collapsed="false">
      <c r="A12" s="19"/>
      <c r="B12" s="19"/>
      <c r="C12" s="19"/>
      <c r="D12" s="19"/>
      <c r="E12" s="19"/>
      <c r="F12" s="19"/>
      <c r="G12" s="19"/>
      <c r="H12" s="24"/>
      <c r="I12" s="24"/>
      <c r="J12" s="25"/>
      <c r="K12" s="26"/>
      <c r="L12" s="26"/>
      <c r="M12" s="25"/>
      <c r="N12" s="26"/>
      <c r="O12" s="26"/>
      <c r="P12" s="25"/>
      <c r="Q12" s="25"/>
      <c r="R12" s="28"/>
      <c r="S12" s="28"/>
      <c r="T12" s="27"/>
      <c r="U12" s="28"/>
      <c r="V12" s="28"/>
      <c r="W12" s="27"/>
      <c r="X12" s="28"/>
      <c r="Y12" s="28"/>
      <c r="Z12" s="27"/>
      <c r="AA12" s="27"/>
      <c r="AB12" s="27"/>
      <c r="AC12" s="27"/>
      <c r="AD12" s="30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customFormat="false" ht="15" hidden="false" customHeight="true" outlineLevel="0" collapsed="false">
      <c r="A13" s="19"/>
      <c r="B13" s="19"/>
      <c r="C13" s="19"/>
      <c r="D13" s="19"/>
      <c r="E13" s="19"/>
      <c r="F13" s="19"/>
      <c r="G13" s="19"/>
      <c r="H13" s="24"/>
      <c r="I13" s="24"/>
      <c r="J13" s="25"/>
      <c r="K13" s="26"/>
      <c r="L13" s="26"/>
      <c r="M13" s="25"/>
      <c r="N13" s="26"/>
      <c r="O13" s="26"/>
      <c r="P13" s="25"/>
      <c r="Q13" s="25"/>
      <c r="R13" s="28"/>
      <c r="S13" s="28"/>
      <c r="T13" s="27"/>
      <c r="U13" s="28"/>
      <c r="V13" s="28"/>
      <c r="W13" s="27"/>
      <c r="X13" s="28"/>
      <c r="Y13" s="28"/>
      <c r="Z13" s="27"/>
      <c r="AA13" s="27"/>
      <c r="AB13" s="27"/>
      <c r="AC13" s="27"/>
      <c r="AD13" s="30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customFormat="false" ht="15" hidden="false" customHeight="true" outlineLevel="0" collapsed="false">
      <c r="A14" s="19"/>
      <c r="B14" s="19"/>
      <c r="C14" s="19"/>
      <c r="D14" s="19"/>
      <c r="E14" s="19"/>
      <c r="F14" s="19"/>
      <c r="G14" s="19"/>
      <c r="H14" s="24"/>
      <c r="I14" s="24"/>
      <c r="J14" s="25"/>
      <c r="K14" s="26"/>
      <c r="L14" s="26"/>
      <c r="M14" s="25"/>
      <c r="N14" s="26"/>
      <c r="O14" s="26"/>
      <c r="P14" s="25"/>
      <c r="Q14" s="25"/>
      <c r="R14" s="28"/>
      <c r="S14" s="28"/>
      <c r="T14" s="27"/>
      <c r="U14" s="28"/>
      <c r="V14" s="28"/>
      <c r="W14" s="27"/>
      <c r="X14" s="28"/>
      <c r="Y14" s="28"/>
      <c r="Z14" s="27"/>
      <c r="AA14" s="27"/>
      <c r="AB14" s="27"/>
      <c r="AC14" s="27"/>
      <c r="AD14" s="30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customFormat="false" ht="15" hidden="false" customHeight="true" outlineLevel="0" collapsed="false">
      <c r="A15" s="19" t="str">
        <f aca="false">IF(OR($E15="",$E15="---"),"---",WEEKDAY($E15,2))</f>
        <v>---</v>
      </c>
      <c r="B15" s="21" t="str">
        <f aca="false">IF(OR($E15="",$E15="---"),"---", IF(AND($A15&gt;5,$G15&lt;&gt;"---"),4, IF($G15&lt;&gt;"---",3, IF($A15&gt;5,2, 1))))</f>
        <v>---</v>
      </c>
      <c r="C15" s="22" t="str">
        <f aca="false">IF($B15="---","---",  IF($B15=4,"SVÁTEK + VÍKEND",  IF($B15=3,"SVÁTEK",  IF($B15=2,"VÍKEND",  "PRACOVNÍ DEN"))))</f>
        <v>---</v>
      </c>
      <c r="D15" s="9" t="str">
        <f aca="false">IF(OR($E15="",$E15="---"),"---",WEEKNUM($E15,2))</f>
        <v>---</v>
      </c>
      <c r="E15" s="32" t="str">
        <f aca="false">IF($E11="","---",IF($E11="---","---",IF(MONTH($E11+1)=MONTH($E11),$E11+1,"---")))</f>
        <v>---</v>
      </c>
      <c r="F15" s="21" t="str">
        <f aca="false">IF($E15="","---",IF($E15="---","---",IF($E15&gt;0,CHOOSE(WEEKDAY($E15,2),"Po","Út","St","Čt","Pá","So","Ne"))))</f>
        <v>---</v>
      </c>
      <c r="G15" s="16" t="str">
        <f aca="false">IF($F15="---","---", IF(AND($A$1&lt;&gt;"---",$E15=$A$1-2),"Velký pátek", IF(AND($A$1&lt;&gt;"---",$E15=$A$1+1),"Velikonoční pondělí", IF(AND(DAY($E15)=1, MONTH($E15)=1),"Den obnovy samostatného českého státu / Nový rok", IF(AND(DAY($E15)=1, MONTH($E15)=5),"Svátek práce", IF(AND(DAY($E15)=8, MONTH($E15)=5),"Den vítězství", IF(AND(DAY($E15)=5, MONTH($E15)=7),"Den slovanských věrozvěstů Cyrila a Metoděje", IF(AND(DAY($E15)=6, MONTH($E15)=7),"Den upálení mistra Jana Husa", IF(AND(DAY($E15)=28, MONTH($E15)=9),"Den české státnosti (sv. Václav)", IF(AND(DAY($E15)=28, MONTH($E15)=10),"Den vzniku samostatného československého státu", IF(AND(DAY($E15)=17, MONTH($E15)=11),"Den boje za svobodu a demokracii", IF(AND(DAY($E15)=24, MONTH($E15)=12),"Štědrý den", IF(AND(DAY($E15)=25, MONTH($E15)=12),"1. svátek vánoční", IF(AND(DAY($E15)=26, MONTH($E15)=12),"2. svátek vánoční", "---"))))))))))))))</f>
        <v>---</v>
      </c>
      <c r="H15" s="26"/>
      <c r="I15" s="26"/>
      <c r="J15" s="25" t="n">
        <f aca="false">IF($H15="",0,IF($I15="",0,IF($I15&lt;$H15,"Čas konce je opravdu mensi?",$I15-$H15)))</f>
        <v>0</v>
      </c>
      <c r="K15" s="26"/>
      <c r="L15" s="26"/>
      <c r="M15" s="25" t="n">
        <f aca="false">IF($K15="",0,IF($L15="",0,IF($L15&lt;$K15,"Čas konce je opravdu menší?",$L15-$K15)))</f>
        <v>0</v>
      </c>
      <c r="N15" s="26"/>
      <c r="O15" s="26"/>
      <c r="P15" s="25" t="n">
        <f aca="false">IF($N15="",0,IF($O15="",0,IF($O15&lt;$N15,"Čas konce je opravdu menší?",$O15-$N15)))</f>
        <v>0</v>
      </c>
      <c r="Q15" s="27" t="n">
        <f aca="false">$J15+$M15+$P15</f>
        <v>0</v>
      </c>
      <c r="R15" s="28" t="n">
        <f aca="false">IF(OR($H15="",$I15=""),0, IF($I15&gt;22/24, MAX($H15,22/24), IF($H15&lt;6/24, $H15,0)))</f>
        <v>0</v>
      </c>
      <c r="S15" s="28" t="n">
        <f aca="false">IF(OR($H15="",$I15=""),0,IF($I15&gt;22/24,MIN($I15,1),IF($H15&lt;6/24,MIN($I15,6/24),0)))</f>
        <v>0</v>
      </c>
      <c r="T15" s="27" t="n">
        <f aca="false">IF(OR($H15="",$I15=""),0, 
   MAX(0, MIN($I15,1) - MAX($H15,22/24))
 + MAX(0, MIN($I15,6/24) - MAX($H15,0))
)</f>
        <v>0</v>
      </c>
      <c r="U15" s="28" t="n">
        <f aca="false">IF(OR($K15="",$L15=""),0, IF($L15&gt;22/24, MAX($K15,22/24), IF($K15&lt;6/24, $K15,0)))</f>
        <v>0</v>
      </c>
      <c r="V15" s="28" t="n">
        <f aca="false">IF(OR($K15="",$L15=""),0,IF($L15&gt;22/24,MIN($L15,1),IF($K15&lt;6/24,MIN($L15,6/24),0)))</f>
        <v>0</v>
      </c>
      <c r="W15" s="27" t="n">
        <f aca="false">IF(OR($K15="",$L15=""),0, 
   MAX(0, MIN($L15,1) - MAX($K15,22/24))
 + MAX(0, MIN($L15,6/24) - MAX($K15,0))
)</f>
        <v>0</v>
      </c>
      <c r="X15" s="28" t="n">
        <f aca="false">IF(OR($N15="",$O15=""),0, IF($O15&gt;22/24, MAX($N15,22/24), IF($N15&lt;6/24, $N15,0)))</f>
        <v>0</v>
      </c>
      <c r="Y15" s="28" t="n">
        <f aca="false">IF(OR($N15="",$O15=""),0,IF($O15&gt;22/24,MIN($O15,1),IF($N15&lt;6/24,MIN($O15,6/24),0)))</f>
        <v>0</v>
      </c>
      <c r="Z15" s="27" t="n">
        <f aca="false">IF(OR($N15="",$O15=""),0, 
   MAX(0, MIN($O15,1) - MAX($N15,22/24))
 + MAX(0, MIN($O15,6/24) - MAX($N15,0))
)</f>
        <v>0</v>
      </c>
      <c r="AA15" s="29" t="str">
        <f aca="false">TEXT(INT($AG15/60),"00")  &amp; ":"  &amp; TEXT(MOD($AG15,60),"00")  &amp; ":00"</f>
        <v>00:00:00</v>
      </c>
      <c r="AB15" s="27" t="n">
        <f aca="false">$T15+$W15+$Z15</f>
        <v>0</v>
      </c>
      <c r="AC15" s="27" t="n">
        <f aca="false">IF(OR($F15="So",$F15="Ne"),$Q15,0)</f>
        <v>0</v>
      </c>
      <c r="AD15" s="30" t="n">
        <f aca="false">IF($G15&lt;&gt;"---", $Q15,0)</f>
        <v>0</v>
      </c>
      <c r="AE15" s="31" t="n">
        <f aca="false">($J15*1440) +($M15*1440) +($P15*1440)</f>
        <v>0</v>
      </c>
      <c r="AF15" s="31" t="n">
        <f aca="false">$AE15/60</f>
        <v>0</v>
      </c>
      <c r="AG15" s="31" t="n">
        <f aca="false">IF(OR($B15="", $B15="---"),0,     IF($B15=1,         MAX(0,$AE15 -480),$AE15     ))</f>
        <v>0</v>
      </c>
      <c r="AH15" s="31" t="n">
        <f aca="false">$AG15/60</f>
        <v>0</v>
      </c>
      <c r="AI15" s="31" t="n">
        <f aca="false">($T15+$W15+$Z15)*1440</f>
        <v>0</v>
      </c>
      <c r="AJ15" s="31" t="n">
        <f aca="false">$AI15/60</f>
        <v>0</v>
      </c>
      <c r="AK15" s="31" t="n">
        <f aca="false">(AC15)*1440</f>
        <v>0</v>
      </c>
      <c r="AL15" s="31" t="n">
        <f aca="false">$AK15/60</f>
        <v>0</v>
      </c>
      <c r="AM15" s="31" t="n">
        <f aca="false">($AD15)*1440</f>
        <v>0</v>
      </c>
      <c r="AN15" s="31" t="n">
        <f aca="false">$AM15/60</f>
        <v>0</v>
      </c>
    </row>
    <row r="16" customFormat="false" ht="15" hidden="false" customHeight="true" outlineLevel="0" collapsed="false">
      <c r="A16" s="19"/>
      <c r="B16" s="19"/>
      <c r="C16" s="19"/>
      <c r="D16" s="19"/>
      <c r="E16" s="19"/>
      <c r="F16" s="19"/>
      <c r="G16" s="19"/>
      <c r="H16" s="26"/>
      <c r="I16" s="26"/>
      <c r="J16" s="25"/>
      <c r="K16" s="26"/>
      <c r="L16" s="26"/>
      <c r="M16" s="25"/>
      <c r="N16" s="26"/>
      <c r="O16" s="26"/>
      <c r="P16" s="25"/>
      <c r="Q16" s="25"/>
      <c r="R16" s="28"/>
      <c r="S16" s="28"/>
      <c r="T16" s="27"/>
      <c r="U16" s="28"/>
      <c r="V16" s="28"/>
      <c r="W16" s="27"/>
      <c r="X16" s="28"/>
      <c r="Y16" s="28"/>
      <c r="Z16" s="27"/>
      <c r="AA16" s="27"/>
      <c r="AB16" s="27"/>
      <c r="AC16" s="27"/>
      <c r="AD16" s="30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26"/>
      <c r="I17" s="26"/>
      <c r="J17" s="25"/>
      <c r="K17" s="26"/>
      <c r="L17" s="26"/>
      <c r="M17" s="25"/>
      <c r="N17" s="26"/>
      <c r="O17" s="26"/>
      <c r="P17" s="25"/>
      <c r="Q17" s="25"/>
      <c r="R17" s="28"/>
      <c r="S17" s="28"/>
      <c r="T17" s="27"/>
      <c r="U17" s="28"/>
      <c r="V17" s="28"/>
      <c r="W17" s="27"/>
      <c r="X17" s="28"/>
      <c r="Y17" s="28"/>
      <c r="Z17" s="27"/>
      <c r="AA17" s="27"/>
      <c r="AB17" s="27"/>
      <c r="AC17" s="27"/>
      <c r="AD17" s="30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customFormat="false" ht="15" hidden="false" customHeight="true" outlineLevel="0" collapsed="false">
      <c r="A18" s="19"/>
      <c r="B18" s="19"/>
      <c r="C18" s="19"/>
      <c r="D18" s="19"/>
      <c r="E18" s="19"/>
      <c r="F18" s="19"/>
      <c r="G18" s="19"/>
      <c r="H18" s="26"/>
      <c r="I18" s="26"/>
      <c r="J18" s="25"/>
      <c r="K18" s="26"/>
      <c r="L18" s="26"/>
      <c r="M18" s="25"/>
      <c r="N18" s="26"/>
      <c r="O18" s="26"/>
      <c r="P18" s="25"/>
      <c r="Q18" s="25"/>
      <c r="R18" s="28"/>
      <c r="S18" s="28"/>
      <c r="T18" s="27"/>
      <c r="U18" s="28"/>
      <c r="V18" s="28"/>
      <c r="W18" s="27"/>
      <c r="X18" s="28"/>
      <c r="Y18" s="28"/>
      <c r="Z18" s="27"/>
      <c r="AA18" s="27"/>
      <c r="AB18" s="27"/>
      <c r="AC18" s="27"/>
      <c r="AD18" s="30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customFormat="false" ht="15" hidden="false" customHeight="true" outlineLevel="0" collapsed="false">
      <c r="A19" s="19" t="str">
        <f aca="false">IF(OR($E19="",$E19="---"),"---",WEEKDAY($E19,2))</f>
        <v>---</v>
      </c>
      <c r="B19" s="21" t="str">
        <f aca="false">IF(OR($E19="",$E19="---"),"---", IF(AND($A19&gt;5,$G19&lt;&gt;"---"),4, IF($G19&lt;&gt;"---",3, IF($A19&gt;5,2, 1))))</f>
        <v>---</v>
      </c>
      <c r="C19" s="22" t="str">
        <f aca="false">IF($B19="---","---",  IF($B19=4,"SVÁTEK + VÍKEND",  IF($B19=3,"SVÁTEK",  IF($B19=2,"VÍKEND",  "PRACOVNÍ DEN"))))</f>
        <v>---</v>
      </c>
      <c r="D19" s="9" t="str">
        <f aca="false">IF(OR($E19="",$E19="---"),"---",WEEKNUM($E19,2))</f>
        <v>---</v>
      </c>
      <c r="E19" s="32" t="str">
        <f aca="false">IF($E15="","---",IF($E15="---","---",IF(MONTH($E15+1)=MONTH($E15),$E15+1,"---")))</f>
        <v>---</v>
      </c>
      <c r="F19" s="21" t="str">
        <f aca="false">IF($E19="","---",IF($E19="---","---",IF($E19&gt;0,CHOOSE(WEEKDAY($E19,2),"Po","Út","St","Čt","Pá","So","Ne"))))</f>
        <v>---</v>
      </c>
      <c r="G19" s="16" t="str">
        <f aca="false">IF($F19="---","---", IF(AND($A$1&lt;&gt;"---",$E19=$A$1-2),"Velký pátek", IF(AND($A$1&lt;&gt;"---",$E19=$A$1+1),"Velikonoční pondělí", IF(AND(DAY($E19)=1, MONTH($E19)=1),"Den obnovy samostatného českého státu / Nový rok", IF(AND(DAY($E19)=1, MONTH($E19)=5),"Svátek práce", IF(AND(DAY($E19)=8, MONTH($E19)=5),"Den vítězství", IF(AND(DAY($E19)=5, MONTH($E19)=7),"Den slovanských věrozvěstů Cyrila a Metoděje", IF(AND(DAY($E19)=6, MONTH($E19)=7),"Den upálení mistra Jana Husa", IF(AND(DAY($E19)=28, MONTH($E19)=9),"Den české státnosti (sv. Václav)", IF(AND(DAY($E19)=28, MONTH($E19)=10),"Den vzniku samostatného československého státu", IF(AND(DAY($E19)=17, MONTH($E19)=11),"Den boje za svobodu a demokracii", IF(AND(DAY($E19)=24, MONTH($E19)=12),"Štědrý den", IF(AND(DAY($E19)=25, MONTH($E19)=12),"1. svátek vánoční", IF(AND(DAY($E19)=26, MONTH($E19)=12),"2. svátek vánoční", "---"))))))))))))))</f>
        <v>---</v>
      </c>
      <c r="H19" s="26"/>
      <c r="I19" s="26"/>
      <c r="J19" s="25" t="n">
        <f aca="false">IF($H19="",0,IF($I19="",0,IF($I19&lt;$H19,"Čas konce je opravdu mensi?",$I19-$H19)))</f>
        <v>0</v>
      </c>
      <c r="K19" s="33"/>
      <c r="L19" s="33"/>
      <c r="M19" s="25" t="n">
        <f aca="false">IF($K19="",0,IF($L19="",0,IF($L19&lt;$K19,"Čas konce je opravdu menší?",$L19-$K19)))</f>
        <v>0</v>
      </c>
      <c r="N19" s="26"/>
      <c r="O19" s="26"/>
      <c r="P19" s="25" t="n">
        <f aca="false">IF($N19="",0,IF($O19="",0,IF($O19&lt;$N19,"Čas konce je opravdu menší?",$O19-$N19)))</f>
        <v>0</v>
      </c>
      <c r="Q19" s="27" t="n">
        <f aca="false">$J19+$M19+$P19</f>
        <v>0</v>
      </c>
      <c r="R19" s="28" t="n">
        <f aca="false">IF(OR($H19="",$I19=""),0, IF($I19&gt;22/24, MAX($H19,22/24), IF($H19&lt;6/24, $H19,0)))</f>
        <v>0</v>
      </c>
      <c r="S19" s="28" t="n">
        <f aca="false">IF(OR($H19="",$I19=""),0,IF($I19&gt;22/24,MIN($I19,1),IF($H19&lt;6/24,MIN($I19,6/24),0)))</f>
        <v>0</v>
      </c>
      <c r="T19" s="27" t="n">
        <f aca="false">IF(OR($H19="",$I19=""),0, 
   MAX(0, MIN($I19,1) - MAX($H19,22/24))
 + MAX(0, MIN($I19,6/24) - MAX($H19,0))
)</f>
        <v>0</v>
      </c>
      <c r="U19" s="28" t="n">
        <f aca="false">IF(OR($K19="",$L19=""),0, IF($L19&gt;22/24, MAX($K19,22/24), IF($K19&lt;6/24, $K19,0)))</f>
        <v>0</v>
      </c>
      <c r="V19" s="28" t="n">
        <f aca="false">IF(OR($K19="",$L19=""),0,IF($L19&gt;22/24,MIN($L19,1),IF($K19&lt;6/24,MIN($L19,6/24),0)))</f>
        <v>0</v>
      </c>
      <c r="W19" s="27" t="n">
        <f aca="false">IF(OR($K19="",$L19=""),0, 
   MAX(0, MIN($L19,1) - MAX($K19,22/24))
 + MAX(0, MIN($L19,6/24) - MAX($K19,0))
)</f>
        <v>0</v>
      </c>
      <c r="X19" s="28" t="n">
        <f aca="false">IF(OR($N19="",$O19=""),0, IF($O19&gt;22/24, MAX($N19,22/24), IF($N19&lt;6/24, $N19,0)))</f>
        <v>0</v>
      </c>
      <c r="Y19" s="28" t="n">
        <f aca="false">IF(OR($N19="",$O19=""),0,IF($O19&gt;22/24,MIN($O19,1),IF($N19&lt;6/24,MIN($O19,6/24),0)))</f>
        <v>0</v>
      </c>
      <c r="Z19" s="27" t="n">
        <f aca="false">IF(OR($N19="",$O19=""),0, 
   MAX(0, MIN($O19,1) - MAX($N19,22/24))
 + MAX(0, MIN($O19,6/24) - MAX($N19,0))
)</f>
        <v>0</v>
      </c>
      <c r="AA19" s="29" t="str">
        <f aca="false">TEXT(INT($AG19/60),"00")  &amp; ":"  &amp; TEXT(MOD($AG19,60),"00")  &amp; ":00"</f>
        <v>00:00:00</v>
      </c>
      <c r="AB19" s="27" t="n">
        <f aca="false">$T19+$W19+$Z19</f>
        <v>0</v>
      </c>
      <c r="AC19" s="27" t="n">
        <f aca="false">IF(OR($F19="So",$F19="Ne"),$Q19,0)</f>
        <v>0</v>
      </c>
      <c r="AD19" s="30" t="n">
        <f aca="false">IF($G19&lt;&gt;"---", $Q19,0)</f>
        <v>0</v>
      </c>
      <c r="AE19" s="31" t="n">
        <f aca="false">($J19*1440) +($M19*1440) +($P19*1440)</f>
        <v>0</v>
      </c>
      <c r="AF19" s="31" t="n">
        <f aca="false">$AE19/60</f>
        <v>0</v>
      </c>
      <c r="AG19" s="31" t="n">
        <f aca="false">IF(OR($B19="", $B19="---"),0,     IF($B19=1,         MAX(0,$AE19 -480),$AE19     ))</f>
        <v>0</v>
      </c>
      <c r="AH19" s="31" t="n">
        <f aca="false">$AG19/60</f>
        <v>0</v>
      </c>
      <c r="AI19" s="31" t="n">
        <f aca="false">($T19+$W19+$Z19)*1440</f>
        <v>0</v>
      </c>
      <c r="AJ19" s="31" t="n">
        <f aca="false">$AI19/60</f>
        <v>0</v>
      </c>
      <c r="AK19" s="31" t="n">
        <f aca="false">(AC19)*1440</f>
        <v>0</v>
      </c>
      <c r="AL19" s="31" t="n">
        <f aca="false">$AK19/60</f>
        <v>0</v>
      </c>
      <c r="AM19" s="31" t="n">
        <f aca="false">($AD19)*1440</f>
        <v>0</v>
      </c>
      <c r="AN19" s="31" t="n">
        <f aca="false">$AM19/60</f>
        <v>0</v>
      </c>
    </row>
    <row r="20" customFormat="false" ht="15" hidden="false" customHeight="true" outlineLevel="0" collapsed="false">
      <c r="A20" s="19"/>
      <c r="B20" s="19"/>
      <c r="C20" s="19"/>
      <c r="D20" s="19"/>
      <c r="E20" s="19"/>
      <c r="F20" s="19"/>
      <c r="G20" s="19"/>
      <c r="H20" s="26"/>
      <c r="I20" s="26"/>
      <c r="J20" s="25"/>
      <c r="K20" s="33"/>
      <c r="L20" s="33"/>
      <c r="M20" s="25"/>
      <c r="N20" s="26"/>
      <c r="O20" s="26"/>
      <c r="P20" s="25"/>
      <c r="Q20" s="25"/>
      <c r="R20" s="28"/>
      <c r="S20" s="28"/>
      <c r="T20" s="27"/>
      <c r="U20" s="28"/>
      <c r="V20" s="28"/>
      <c r="W20" s="27"/>
      <c r="X20" s="28"/>
      <c r="Y20" s="28"/>
      <c r="Z20" s="27"/>
      <c r="AA20" s="27"/>
      <c r="AB20" s="27"/>
      <c r="AC20" s="27"/>
      <c r="AD20" s="30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customFormat="false" ht="15" hidden="false" customHeight="true" outlineLevel="0" collapsed="false">
      <c r="A21" s="19"/>
      <c r="B21" s="19"/>
      <c r="C21" s="19"/>
      <c r="D21" s="19"/>
      <c r="E21" s="19"/>
      <c r="F21" s="19"/>
      <c r="G21" s="19"/>
      <c r="H21" s="26"/>
      <c r="I21" s="26"/>
      <c r="J21" s="25"/>
      <c r="K21" s="33"/>
      <c r="L21" s="33"/>
      <c r="M21" s="25"/>
      <c r="N21" s="26"/>
      <c r="O21" s="26"/>
      <c r="P21" s="25"/>
      <c r="Q21" s="25"/>
      <c r="R21" s="28"/>
      <c r="S21" s="28"/>
      <c r="T21" s="27"/>
      <c r="U21" s="28"/>
      <c r="V21" s="28"/>
      <c r="W21" s="27"/>
      <c r="X21" s="28"/>
      <c r="Y21" s="28"/>
      <c r="Z21" s="27"/>
      <c r="AA21" s="27"/>
      <c r="AB21" s="27"/>
      <c r="AC21" s="27"/>
      <c r="AD21" s="30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19"/>
      <c r="G22" s="19"/>
      <c r="H22" s="26"/>
      <c r="I22" s="26"/>
      <c r="J22" s="25"/>
      <c r="K22" s="33"/>
      <c r="L22" s="33"/>
      <c r="M22" s="25"/>
      <c r="N22" s="26"/>
      <c r="O22" s="26"/>
      <c r="P22" s="25"/>
      <c r="Q22" s="25"/>
      <c r="R22" s="28"/>
      <c r="S22" s="28"/>
      <c r="T22" s="27"/>
      <c r="U22" s="28"/>
      <c r="V22" s="28"/>
      <c r="W22" s="27"/>
      <c r="X22" s="28"/>
      <c r="Y22" s="28"/>
      <c r="Z22" s="27"/>
      <c r="AA22" s="27"/>
      <c r="AB22" s="27"/>
      <c r="AC22" s="27"/>
      <c r="AD22" s="30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customFormat="false" ht="15" hidden="false" customHeight="true" outlineLevel="0" collapsed="false">
      <c r="A23" s="19" t="str">
        <f aca="false">IF(OR($E23="",$E23="---"),"---",WEEKDAY($E23,2))</f>
        <v>---</v>
      </c>
      <c r="B23" s="21" t="str">
        <f aca="false">IF(OR($E23="",$E23="---"),"---", IF(AND($A23&gt;5,$G23&lt;&gt;"---"),4, IF($G23&lt;&gt;"---",3, IF($A23&gt;5,2, 1))))</f>
        <v>---</v>
      </c>
      <c r="C23" s="22" t="str">
        <f aca="false">IF($B23="---","---",  IF($B23=4,"SVÁTEK + VÍKEND",  IF($B23=3,"SVÁTEK",  IF($B23=2,"VÍKEND",  "PRACOVNÍ DEN"))))</f>
        <v>---</v>
      </c>
      <c r="D23" s="9" t="str">
        <f aca="false">IF(OR($E23="",$E23="---"),"---",WEEKNUM($E23,2))</f>
        <v>---</v>
      </c>
      <c r="E23" s="32" t="str">
        <f aca="false">IF($E19="","---",IF($E19="---","---",IF(MONTH($E19+1)=MONTH($E19),$E19+1,"---")))</f>
        <v>---</v>
      </c>
      <c r="F23" s="21" t="str">
        <f aca="false">IF($E23="","---",IF($E23="---","---",IF($E23&gt;0,CHOOSE(WEEKDAY($E23,2),"Po","Út","St","Čt","Pá","So","Ne"))))</f>
        <v>---</v>
      </c>
      <c r="G23" s="16" t="str">
        <f aca="false">IF($F23="---","---", IF(AND($A$1&lt;&gt;"---",$E23=$A$1-2),"Velký pátek", IF(AND($A$1&lt;&gt;"---",$E23=$A$1+1),"Velikonoční pondělí", IF(AND(DAY($E23)=1, MONTH($E23)=1),"Den obnovy samostatného českého státu / Nový rok", IF(AND(DAY($E23)=1, MONTH($E23)=5),"Svátek práce", IF(AND(DAY($E23)=8, MONTH($E23)=5),"Den vítězství", IF(AND(DAY($E23)=5, MONTH($E23)=7),"Den slovanských věrozvěstů Cyrila a Metoděje", IF(AND(DAY($E23)=6, MONTH($E23)=7),"Den upálení mistra Jana Husa", IF(AND(DAY($E23)=28, MONTH($E23)=9),"Den české státnosti (sv. Václav)", IF(AND(DAY($E23)=28, MONTH($E23)=10),"Den vzniku samostatného československého státu", IF(AND(DAY($E23)=17, MONTH($E23)=11),"Den boje za svobodu a demokracii", IF(AND(DAY($E23)=24, MONTH($E23)=12),"Štědrý den", IF(AND(DAY($E23)=25, MONTH($E23)=12),"1. svátek vánoční", IF(AND(DAY($E23)=26, MONTH($E23)=12),"2. svátek vánoční", "---"))))))))))))))</f>
        <v>---</v>
      </c>
      <c r="H23" s="26"/>
      <c r="I23" s="26"/>
      <c r="J23" s="25" t="n">
        <f aca="false">IF($H23="",0,IF($I23="",0,IF($I23&lt;$H23,"Čas konce je opravdu mensi?",$I23-$H23)))</f>
        <v>0</v>
      </c>
      <c r="K23" s="33"/>
      <c r="L23" s="33"/>
      <c r="M23" s="25" t="n">
        <f aca="false">IF($K23="",0,IF($L23="",0,IF($L23&lt;$K23,"Čas konce je opravdu menší?",$L23-$K23)))</f>
        <v>0</v>
      </c>
      <c r="N23" s="26"/>
      <c r="O23" s="26"/>
      <c r="P23" s="25" t="n">
        <f aca="false">IF($N23="",0,IF($O23="",0,IF($O23&lt;$N23,"Čas konce je opravdu menší?",$O23-$N23)))</f>
        <v>0</v>
      </c>
      <c r="Q23" s="27" t="n">
        <f aca="false">$J23+$M23+$P23</f>
        <v>0</v>
      </c>
      <c r="R23" s="28" t="n">
        <f aca="false">IF(OR($H23="",$I23=""),0, IF($I23&gt;22/24, MAX($H23,22/24), IF($H23&lt;6/24, $H23,0)))</f>
        <v>0</v>
      </c>
      <c r="S23" s="28" t="n">
        <f aca="false">IF(OR($H23="",$I23=""),0,IF($I23&gt;22/24,MIN($I23,1),IF($H23&lt;6/24,MIN($I23,6/24),0)))</f>
        <v>0</v>
      </c>
      <c r="T23" s="27" t="n">
        <f aca="false">IF(OR($H23="",$I23=""),0, 
   MAX(0, MIN($I23,1) - MAX($H23,22/24))
 + MAX(0, MIN($I23,6/24) - MAX($H23,0))
)</f>
        <v>0</v>
      </c>
      <c r="U23" s="28" t="n">
        <f aca="false">IF(OR($K23="",$L23=""),0, IF($L23&gt;22/24, MAX($K23,22/24), IF($K23&lt;6/24, $K23,0)))</f>
        <v>0</v>
      </c>
      <c r="V23" s="28" t="n">
        <f aca="false">IF(OR($K23="",$L23=""),0,IF($L23&gt;22/24,MIN($L23,1),IF($K23&lt;6/24,MIN($L23,6/24),0)))</f>
        <v>0</v>
      </c>
      <c r="W23" s="27" t="n">
        <f aca="false">IF(OR($K23="",$L23=""),0, 
   MAX(0, MIN($L23,1) - MAX($K23,22/24))
 + MAX(0, MIN($L23,6/24) - MAX($K23,0))
)</f>
        <v>0</v>
      </c>
      <c r="X23" s="28" t="n">
        <f aca="false">IF(OR($N23="",$O23=""),0, IF($O23&gt;22/24, MAX($N23,22/24), IF($N23&lt;6/24, $N23,0)))</f>
        <v>0</v>
      </c>
      <c r="Y23" s="28" t="n">
        <f aca="false">IF(OR($N23="",$O23=""),0,IF($O23&gt;22/24,MIN($O23,1),IF($N23&lt;6/24,MIN($O23,6/24),0)))</f>
        <v>0</v>
      </c>
      <c r="Z23" s="27" t="n">
        <f aca="false">IF(OR($N23="",$O23=""),0, 
   MAX(0, MIN($O23,1) - MAX($N23,22/24))
 + MAX(0, MIN($O23,6/24) - MAX($N23,0))
)</f>
        <v>0</v>
      </c>
      <c r="AA23" s="29" t="str">
        <f aca="false">TEXT(INT($AG23/60),"00")  &amp; ":"  &amp; TEXT(MOD($AG23,60),"00")  &amp; ":00"</f>
        <v>00:00:00</v>
      </c>
      <c r="AB23" s="27" t="n">
        <f aca="false">$T23+$W23+$Z23</f>
        <v>0</v>
      </c>
      <c r="AC23" s="27" t="n">
        <f aca="false">IF(OR($F23="So",$F23="Ne"),$Q23,0)</f>
        <v>0</v>
      </c>
      <c r="AD23" s="30" t="n">
        <f aca="false">IF($G23&lt;&gt;"---", $Q23,0)</f>
        <v>0</v>
      </c>
      <c r="AE23" s="31" t="n">
        <f aca="false">($J23*1440) +($M23*1440) +($P23*1440)</f>
        <v>0</v>
      </c>
      <c r="AF23" s="31" t="n">
        <f aca="false">$AE23/60</f>
        <v>0</v>
      </c>
      <c r="AG23" s="31" t="n">
        <f aca="false">IF(OR($B23="", $B23="---"),0,     IF($B23=1,         MAX(0,$AE23 -480),$AE23     ))</f>
        <v>0</v>
      </c>
      <c r="AH23" s="31" t="n">
        <f aca="false">$AG23/60</f>
        <v>0</v>
      </c>
      <c r="AI23" s="31" t="n">
        <f aca="false">($T23+$W23+$Z23)*1440</f>
        <v>0</v>
      </c>
      <c r="AJ23" s="31" t="n">
        <f aca="false">$AI23/60</f>
        <v>0</v>
      </c>
      <c r="AK23" s="31" t="n">
        <f aca="false">(AC23)*1440</f>
        <v>0</v>
      </c>
      <c r="AL23" s="31" t="n">
        <f aca="false">$AK23/60</f>
        <v>0</v>
      </c>
      <c r="AM23" s="31" t="n">
        <f aca="false">($AD23)*1440</f>
        <v>0</v>
      </c>
      <c r="AN23" s="31" t="n">
        <f aca="false">$AM23/60</f>
        <v>0</v>
      </c>
    </row>
    <row r="24" customFormat="false" ht="15" hidden="false" customHeight="true" outlineLevel="0" collapsed="false">
      <c r="A24" s="19"/>
      <c r="B24" s="19"/>
      <c r="C24" s="19"/>
      <c r="D24" s="19"/>
      <c r="E24" s="19"/>
      <c r="F24" s="19"/>
      <c r="G24" s="19"/>
      <c r="H24" s="26"/>
      <c r="I24" s="26"/>
      <c r="J24" s="25"/>
      <c r="K24" s="33"/>
      <c r="L24" s="33"/>
      <c r="M24" s="25"/>
      <c r="N24" s="26"/>
      <c r="O24" s="26"/>
      <c r="P24" s="25"/>
      <c r="Q24" s="25"/>
      <c r="R24" s="28"/>
      <c r="S24" s="28"/>
      <c r="T24" s="27"/>
      <c r="U24" s="28"/>
      <c r="V24" s="28"/>
      <c r="W24" s="27"/>
      <c r="X24" s="28"/>
      <c r="Y24" s="28"/>
      <c r="Z24" s="27"/>
      <c r="AA24" s="27"/>
      <c r="AB24" s="27"/>
      <c r="AC24" s="27"/>
      <c r="AD24" s="30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26"/>
      <c r="I25" s="26"/>
      <c r="J25" s="25"/>
      <c r="K25" s="33"/>
      <c r="L25" s="33"/>
      <c r="M25" s="25"/>
      <c r="N25" s="26"/>
      <c r="O25" s="26"/>
      <c r="P25" s="25"/>
      <c r="Q25" s="25"/>
      <c r="R25" s="28"/>
      <c r="S25" s="28"/>
      <c r="T25" s="27"/>
      <c r="U25" s="28"/>
      <c r="V25" s="28"/>
      <c r="W25" s="27"/>
      <c r="X25" s="28"/>
      <c r="Y25" s="28"/>
      <c r="Z25" s="27"/>
      <c r="AA25" s="27"/>
      <c r="AB25" s="27"/>
      <c r="AC25" s="27"/>
      <c r="AD25" s="30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26"/>
      <c r="I26" s="26"/>
      <c r="J26" s="25"/>
      <c r="K26" s="33"/>
      <c r="L26" s="33"/>
      <c r="M26" s="25"/>
      <c r="N26" s="26"/>
      <c r="O26" s="26"/>
      <c r="P26" s="25"/>
      <c r="Q26" s="25"/>
      <c r="R26" s="28"/>
      <c r="S26" s="28"/>
      <c r="T26" s="27"/>
      <c r="U26" s="28"/>
      <c r="V26" s="28"/>
      <c r="W26" s="27"/>
      <c r="X26" s="28"/>
      <c r="Y26" s="28"/>
      <c r="Z26" s="27"/>
      <c r="AA26" s="27"/>
      <c r="AB26" s="27"/>
      <c r="AC26" s="27"/>
      <c r="AD26" s="30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customFormat="false" ht="15" hidden="false" customHeight="true" outlineLevel="0" collapsed="false">
      <c r="A27" s="19" t="str">
        <f aca="false">IF(OR($E27="",$E27="---"),"---",WEEKDAY($E27,2))</f>
        <v>---</v>
      </c>
      <c r="B27" s="21" t="str">
        <f aca="false">IF(OR($E27="",$E27="---"),"---", IF(AND($A27&gt;5,$G27&lt;&gt;"---"),4, IF($G27&lt;&gt;"---",3, IF($A27&gt;5,2, 1))))</f>
        <v>---</v>
      </c>
      <c r="C27" s="22" t="str">
        <f aca="false">IF($B27="---","---",  IF($B27=4,"SVÁTEK + VÍKEND",  IF($B27=3,"SVÁTEK",  IF($B27=2,"VÍKEND",  "PRACOVNÍ DEN"))))</f>
        <v>---</v>
      </c>
      <c r="D27" s="9" t="str">
        <f aca="false">IF(OR($E27="",$E27="---"),"---",WEEKNUM($E27,2))</f>
        <v>---</v>
      </c>
      <c r="E27" s="32" t="str">
        <f aca="false">IF($E23="","---",IF($E23="---","---",IF(MONTH($E23+1)=MONTH($E23),$E23+1,"---")))</f>
        <v>---</v>
      </c>
      <c r="F27" s="21" t="str">
        <f aca="false">IF($E27="","---",IF($E27="---","---",IF($E27&gt;0,CHOOSE(WEEKDAY($E27,2),"Po","Út","St","Čt","Pá","So","Ne"))))</f>
        <v>---</v>
      </c>
      <c r="G27" s="16" t="str">
        <f aca="false">IF($F27="---","---", IF(AND($A$1&lt;&gt;"---",$E27=$A$1-2),"Velký pátek", IF(AND($A$1&lt;&gt;"---",$E27=$A$1+1),"Velikonoční pondělí", IF(AND(DAY($E27)=1, MONTH($E27)=1),"Den obnovy samostatného českého státu / Nový rok", IF(AND(DAY($E27)=1, MONTH($E27)=5),"Svátek práce", IF(AND(DAY($E27)=8, MONTH($E27)=5),"Den vítězství", IF(AND(DAY($E27)=5, MONTH($E27)=7),"Den slovanských věrozvěstů Cyrila a Metoděje", IF(AND(DAY($E27)=6, MONTH($E27)=7),"Den upálení mistra Jana Husa", IF(AND(DAY($E27)=28, MONTH($E27)=9),"Den české státnosti (sv. Václav)", IF(AND(DAY($E27)=28, MONTH($E27)=10),"Den vzniku samostatného československého státu", IF(AND(DAY($E27)=17, MONTH($E27)=11),"Den boje za svobodu a demokracii", IF(AND(DAY($E27)=24, MONTH($E27)=12),"Štědrý den", IF(AND(DAY($E27)=25, MONTH($E27)=12),"1. svátek vánoční", IF(AND(DAY($E27)=26, MONTH($E27)=12),"2. svátek vánoční", "---"))))))))))))))</f>
        <v>---</v>
      </c>
      <c r="H27" s="26"/>
      <c r="I27" s="26"/>
      <c r="J27" s="25" t="n">
        <f aca="false">IF($H27="",0,IF($I27="",0,IF($I27&lt;$H27,"Čas konce je opravdu mensi?",$I27-$H27)))</f>
        <v>0</v>
      </c>
      <c r="K27" s="33"/>
      <c r="L27" s="33"/>
      <c r="M27" s="25" t="n">
        <f aca="false">IF($K27="",0,IF($L27="",0,IF($L27&lt;$K27,"Čas konce je opravdu menší?",$L27-$K27)))</f>
        <v>0</v>
      </c>
      <c r="N27" s="26"/>
      <c r="O27" s="26"/>
      <c r="P27" s="25" t="n">
        <f aca="false">IF($N27="",0,IF($O27="",0,IF($O27&lt;$N27,"Čas konce je opravdu menší?",$O27-$N27)))</f>
        <v>0</v>
      </c>
      <c r="Q27" s="27" t="n">
        <f aca="false">$J27+$M27+$P27</f>
        <v>0</v>
      </c>
      <c r="R27" s="28" t="n">
        <f aca="false">IF(OR($H27="",$I27=""),0, IF($I27&gt;22/24, MAX($H27,22/24), IF($H27&lt;6/24, $H27,0)))</f>
        <v>0</v>
      </c>
      <c r="S27" s="28" t="n">
        <f aca="false">IF(OR($H27="",$I27=""),0,IF($I27&gt;22/24,MIN($I27,1),IF($H27&lt;6/24,MIN($I27,6/24),0)))</f>
        <v>0</v>
      </c>
      <c r="T27" s="27" t="n">
        <f aca="false">IF(OR($H27="",$I27=""),0, 
   MAX(0, MIN($I27,1) - MAX($H27,22/24))
 + MAX(0, MIN($I27,6/24) - MAX($H27,0))
)</f>
        <v>0</v>
      </c>
      <c r="U27" s="28" t="n">
        <f aca="false">IF(OR($K27="",$L27=""),0, IF($L27&gt;22/24, MAX($K27,22/24), IF($K27&lt;6/24, $K27,0)))</f>
        <v>0</v>
      </c>
      <c r="V27" s="28" t="n">
        <f aca="false">IF(OR($K27="",$L27=""),0,IF($L27&gt;22/24,MIN($L27,1),IF($K27&lt;6/24,MIN($L27,6/24),0)))</f>
        <v>0</v>
      </c>
      <c r="W27" s="27" t="n">
        <f aca="false">IF(OR($K27="",$L27=""),0, 
   MAX(0, MIN($L27,1) - MAX($K27,22/24))
 + MAX(0, MIN($L27,6/24) - MAX($K27,0))
)</f>
        <v>0</v>
      </c>
      <c r="X27" s="28" t="n">
        <f aca="false">IF(OR($N27="",$O27=""),0, IF($O27&gt;22/24, MAX($N27,22/24), IF($N27&lt;6/24, $N27,0)))</f>
        <v>0</v>
      </c>
      <c r="Y27" s="28" t="n">
        <f aca="false">IF(OR($N27="",$O27=""),0,IF($O27&gt;22/24,MIN($O27,1),IF($N27&lt;6/24,MIN($O27,6/24),0)))</f>
        <v>0</v>
      </c>
      <c r="Z27" s="27" t="n">
        <f aca="false">IF(OR($N27="",$O27=""),0, 
   MAX(0, MIN($O27,1) - MAX($N27,22/24))
 + MAX(0, MIN($O27,6/24) - MAX($N27,0))
)</f>
        <v>0</v>
      </c>
      <c r="AA27" s="29" t="str">
        <f aca="false">TEXT(INT($AG27/60),"00")  &amp; ":"  &amp; TEXT(MOD($AG27,60),"00")  &amp; ":00"</f>
        <v>00:00:00</v>
      </c>
      <c r="AB27" s="27" t="n">
        <f aca="false">$T27+$W27+$Z27</f>
        <v>0</v>
      </c>
      <c r="AC27" s="27" t="n">
        <f aca="false">IF(OR($F27="So",$F27="Ne"),$Q27,0)</f>
        <v>0</v>
      </c>
      <c r="AD27" s="30" t="n">
        <f aca="false">IF($G27&lt;&gt;"---", $Q27,0)</f>
        <v>0</v>
      </c>
      <c r="AE27" s="31" t="n">
        <f aca="false">($J27*1440) +($M27*1440) +($P27*1440)</f>
        <v>0</v>
      </c>
      <c r="AF27" s="31" t="n">
        <f aca="false">$AE27/60</f>
        <v>0</v>
      </c>
      <c r="AG27" s="31" t="n">
        <f aca="false">IF(OR($B27="", $B27="---"),0,     IF($B27=1,         MAX(0,$AE27 -480),$AE27     ))</f>
        <v>0</v>
      </c>
      <c r="AH27" s="31" t="n">
        <f aca="false">$AG27/60</f>
        <v>0</v>
      </c>
      <c r="AI27" s="31" t="n">
        <f aca="false">($T27+$W27+$Z27)*1440</f>
        <v>0</v>
      </c>
      <c r="AJ27" s="31" t="n">
        <f aca="false">$AI27/60</f>
        <v>0</v>
      </c>
      <c r="AK27" s="31" t="n">
        <f aca="false">(AC27)*1440</f>
        <v>0</v>
      </c>
      <c r="AL27" s="31" t="n">
        <f aca="false">$AK27/60</f>
        <v>0</v>
      </c>
      <c r="AM27" s="31" t="n">
        <f aca="false">($AD27)*1440</f>
        <v>0</v>
      </c>
      <c r="AN27" s="31" t="n">
        <f aca="false">$AM27/60</f>
        <v>0</v>
      </c>
    </row>
    <row r="28" customFormat="false" ht="15" hidden="false" customHeight="true" outlineLevel="0" collapsed="false">
      <c r="A28" s="19"/>
      <c r="B28" s="19"/>
      <c r="C28" s="19"/>
      <c r="D28" s="19"/>
      <c r="E28" s="19"/>
      <c r="F28" s="19"/>
      <c r="G28" s="19"/>
      <c r="H28" s="26"/>
      <c r="I28" s="26"/>
      <c r="J28" s="25"/>
      <c r="K28" s="33"/>
      <c r="L28" s="33"/>
      <c r="M28" s="25"/>
      <c r="N28" s="26"/>
      <c r="O28" s="26"/>
      <c r="P28" s="25"/>
      <c r="Q28" s="25"/>
      <c r="R28" s="28"/>
      <c r="S28" s="28"/>
      <c r="T28" s="27"/>
      <c r="U28" s="28"/>
      <c r="V28" s="28"/>
      <c r="W28" s="27"/>
      <c r="X28" s="28"/>
      <c r="Y28" s="28"/>
      <c r="Z28" s="27"/>
      <c r="AA28" s="27"/>
      <c r="AB28" s="27"/>
      <c r="AC28" s="27"/>
      <c r="AD28" s="30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customFormat="false" ht="15" hidden="false" customHeight="true" outlineLevel="0" collapsed="false">
      <c r="A29" s="19"/>
      <c r="B29" s="19"/>
      <c r="C29" s="19"/>
      <c r="D29" s="19"/>
      <c r="E29" s="19"/>
      <c r="F29" s="19"/>
      <c r="G29" s="19"/>
      <c r="H29" s="26"/>
      <c r="I29" s="26"/>
      <c r="J29" s="25"/>
      <c r="K29" s="33"/>
      <c r="L29" s="33"/>
      <c r="M29" s="25"/>
      <c r="N29" s="26"/>
      <c r="O29" s="26"/>
      <c r="P29" s="25"/>
      <c r="Q29" s="25"/>
      <c r="R29" s="28"/>
      <c r="S29" s="28"/>
      <c r="T29" s="27"/>
      <c r="U29" s="28"/>
      <c r="V29" s="28"/>
      <c r="W29" s="27"/>
      <c r="X29" s="28"/>
      <c r="Y29" s="28"/>
      <c r="Z29" s="27"/>
      <c r="AA29" s="27"/>
      <c r="AB29" s="27"/>
      <c r="AC29" s="27"/>
      <c r="AD29" s="30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customFormat="false" ht="15" hidden="false" customHeight="true" outlineLevel="0" collapsed="false">
      <c r="A30" s="19"/>
      <c r="B30" s="19"/>
      <c r="C30" s="19"/>
      <c r="D30" s="19"/>
      <c r="E30" s="19"/>
      <c r="F30" s="19"/>
      <c r="G30" s="19"/>
      <c r="H30" s="26"/>
      <c r="I30" s="26"/>
      <c r="J30" s="25"/>
      <c r="K30" s="33"/>
      <c r="L30" s="33"/>
      <c r="M30" s="25"/>
      <c r="N30" s="26"/>
      <c r="O30" s="26"/>
      <c r="P30" s="25"/>
      <c r="Q30" s="25"/>
      <c r="R30" s="28"/>
      <c r="S30" s="28"/>
      <c r="T30" s="27"/>
      <c r="U30" s="28"/>
      <c r="V30" s="28"/>
      <c r="W30" s="27"/>
      <c r="X30" s="28"/>
      <c r="Y30" s="28"/>
      <c r="Z30" s="27"/>
      <c r="AA30" s="27"/>
      <c r="AB30" s="27"/>
      <c r="AC30" s="27"/>
      <c r="AD30" s="30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customFormat="false" ht="15" hidden="false" customHeight="true" outlineLevel="0" collapsed="false">
      <c r="A31" s="19" t="str">
        <f aca="false">IF(OR($E31="",$E31="---"),"---",WEEKDAY($E31,2))</f>
        <v>---</v>
      </c>
      <c r="B31" s="21" t="str">
        <f aca="false">IF(OR($E31="",$E31="---"),"---", IF(AND($A31&gt;5,$G31&lt;&gt;"---"),4, IF($G31&lt;&gt;"---",3, IF($A31&gt;5,2, 1))))</f>
        <v>---</v>
      </c>
      <c r="C31" s="22" t="str">
        <f aca="false">IF($B31="---","---",  IF($B31=4,"SVÁTEK + VÍKEND",  IF($B31=3,"SVÁTEK",  IF($B31=2,"VÍKEND",  "PRACOVNÍ DEN"))))</f>
        <v>---</v>
      </c>
      <c r="D31" s="9" t="str">
        <f aca="false">IF(OR($E31="",$E31="---"),"---",WEEKNUM($E31,2))</f>
        <v>---</v>
      </c>
      <c r="E31" s="32" t="str">
        <f aca="false">IF($E27="","---",IF($E27="---","---",IF(MONTH($E27+1)=MONTH($E27),$E27+1,"---")))</f>
        <v>---</v>
      </c>
      <c r="F31" s="21" t="str">
        <f aca="false">IF($E31="","---",IF($E31="---","---",IF($E31&gt;0,CHOOSE(WEEKDAY($E31,2),"Po","Út","St","Čt","Pá","So","Ne"))))</f>
        <v>---</v>
      </c>
      <c r="G31" s="16" t="str">
        <f aca="false">IF($F31="---","---", IF(AND($A$1&lt;&gt;"---",$E31=$A$1-2),"Velký pátek", IF(AND($A$1&lt;&gt;"---",$E31=$A$1+1),"Velikonoční pondělí", IF(AND(DAY($E31)=1, MONTH($E31)=1),"Den obnovy samostatného českého státu / Nový rok", IF(AND(DAY($E31)=1, MONTH($E31)=5),"Svátek práce", IF(AND(DAY($E31)=8, MONTH($E31)=5),"Den vítězství", IF(AND(DAY($E31)=5, MONTH($E31)=7),"Den slovanských věrozvěstů Cyrila a Metoděje", IF(AND(DAY($E31)=6, MONTH($E31)=7),"Den upálení mistra Jana Husa", IF(AND(DAY($E31)=28, MONTH($E31)=9),"Den české státnosti (sv. Václav)", IF(AND(DAY($E31)=28, MONTH($E31)=10),"Den vzniku samostatného československého státu", IF(AND(DAY($E31)=17, MONTH($E31)=11),"Den boje za svobodu a demokracii", IF(AND(DAY($E31)=24, MONTH($E31)=12),"Štědrý den", IF(AND(DAY($E31)=25, MONTH($E31)=12),"1. svátek vánoční", IF(AND(DAY($E31)=26, MONTH($E31)=12),"2. svátek vánoční", "---"))))))))))))))</f>
        <v>---</v>
      </c>
      <c r="H31" s="26"/>
      <c r="I31" s="26"/>
      <c r="J31" s="25" t="n">
        <f aca="false">IF($H31="",0,IF($I31="",0,IF($I31&lt;$H31,"Čas konce je opravdu mensi?",$I31-$H31)))</f>
        <v>0</v>
      </c>
      <c r="K31" s="33"/>
      <c r="L31" s="33"/>
      <c r="M31" s="25" t="n">
        <f aca="false">IF($K31="",0,IF($L31="",0,IF($L31&lt;$K31,"Čas konce je opravdu menší?",$L31-$K31)))</f>
        <v>0</v>
      </c>
      <c r="N31" s="26"/>
      <c r="O31" s="26"/>
      <c r="P31" s="25" t="n">
        <f aca="false">IF($N31="",0,IF($O31="",0,IF($O31&lt;$N31,"Čas konce je opravdu menší?",$O31-$N31)))</f>
        <v>0</v>
      </c>
      <c r="Q31" s="27" t="n">
        <f aca="false">$J31+$M31+$P31</f>
        <v>0</v>
      </c>
      <c r="R31" s="28" t="n">
        <f aca="false">IF(OR($H31="",$I31=""),0, IF($I31&gt;22/24, MAX($H31,22/24), IF($H31&lt;6/24, $H31,0)))</f>
        <v>0</v>
      </c>
      <c r="S31" s="28" t="n">
        <f aca="false">IF(OR($H31="",$I31=""),0,IF($I31&gt;22/24,MIN($I31,1),IF($H31&lt;6/24,MIN($I31,6/24),0)))</f>
        <v>0</v>
      </c>
      <c r="T31" s="27" t="n">
        <f aca="false">IF(OR($H31="",$I31=""),0, 
   MAX(0, MIN($I31,1) - MAX($H31,22/24))
 + MAX(0, MIN($I31,6/24) - MAX($H31,0))
)</f>
        <v>0</v>
      </c>
      <c r="U31" s="28" t="n">
        <f aca="false">IF(OR($K31="",$L31=""),0, IF($L31&gt;22/24, MAX($K31,22/24), IF($K31&lt;6/24, $K31,0)))</f>
        <v>0</v>
      </c>
      <c r="V31" s="28" t="n">
        <f aca="false">IF(OR($K31="",$L31=""),0,IF($L31&gt;22/24,MIN($L31,1),IF($K31&lt;6/24,MIN($L31,6/24),0)))</f>
        <v>0</v>
      </c>
      <c r="W31" s="27" t="n">
        <f aca="false">IF(OR($K31="",$L31=""),0, 
   MAX(0, MIN($L31,1) - MAX($K31,22/24))
 + MAX(0, MIN($L31,6/24) - MAX($K31,0))
)</f>
        <v>0</v>
      </c>
      <c r="X31" s="28" t="n">
        <f aca="false">IF(OR($N31="",$O31=""),0, IF($O31&gt;22/24, MAX($N31,22/24), IF($N31&lt;6/24, $N31,0)))</f>
        <v>0</v>
      </c>
      <c r="Y31" s="28" t="n">
        <f aca="false">IF(OR($N31="",$O31=""),0,IF($O31&gt;22/24,MIN($O31,1),IF($N31&lt;6/24,MIN($O31,6/24),0)))</f>
        <v>0</v>
      </c>
      <c r="Z31" s="27" t="n">
        <f aca="false">IF(OR($N31="",$O31=""),0, 
   MAX(0, MIN($O31,1) - MAX($N31,22/24))
 + MAX(0, MIN($O31,6/24) - MAX($N31,0))
)</f>
        <v>0</v>
      </c>
      <c r="AA31" s="29" t="str">
        <f aca="false">TEXT(INT($AG31/60),"00")  &amp; ":"  &amp; TEXT(MOD($AG31,60),"00")  &amp; ":00"</f>
        <v>00:00:00</v>
      </c>
      <c r="AB31" s="27" t="n">
        <f aca="false">$T31+$W31+$Z31</f>
        <v>0</v>
      </c>
      <c r="AC31" s="27" t="n">
        <f aca="false">IF(OR($F31="So",$F31="Ne"),$Q31,0)</f>
        <v>0</v>
      </c>
      <c r="AD31" s="30" t="n">
        <f aca="false">IF($G31&lt;&gt;"---", $Q31,0)</f>
        <v>0</v>
      </c>
      <c r="AE31" s="31" t="n">
        <f aca="false">($J31*1440) +($M31*1440) +($P31*1440)</f>
        <v>0</v>
      </c>
      <c r="AF31" s="31" t="n">
        <f aca="false">$AE31/60</f>
        <v>0</v>
      </c>
      <c r="AG31" s="31" t="n">
        <f aca="false">IF(OR($B31="", $B31="---"),0,     IF($B31=1,         MAX(0,$AE31 -480),$AE31     ))</f>
        <v>0</v>
      </c>
      <c r="AH31" s="31" t="n">
        <f aca="false">$AG31/60</f>
        <v>0</v>
      </c>
      <c r="AI31" s="31" t="n">
        <f aca="false">($T31+$W31+$Z31)*1440</f>
        <v>0</v>
      </c>
      <c r="AJ31" s="31" t="n">
        <f aca="false">$AI31/60</f>
        <v>0</v>
      </c>
      <c r="AK31" s="31" t="n">
        <f aca="false">(AC31)*1440</f>
        <v>0</v>
      </c>
      <c r="AL31" s="31" t="n">
        <f aca="false">$AK31/60</f>
        <v>0</v>
      </c>
      <c r="AM31" s="31" t="n">
        <f aca="false">($AD31)*1440</f>
        <v>0</v>
      </c>
      <c r="AN31" s="31" t="n">
        <f aca="false">$AM31/60</f>
        <v>0</v>
      </c>
    </row>
    <row r="32" customFormat="false" ht="15" hidden="false" customHeight="true" outlineLevel="0" collapsed="false">
      <c r="A32" s="19"/>
      <c r="B32" s="19"/>
      <c r="C32" s="19"/>
      <c r="D32" s="19"/>
      <c r="E32" s="19"/>
      <c r="F32" s="19"/>
      <c r="G32" s="19"/>
      <c r="H32" s="26"/>
      <c r="I32" s="26"/>
      <c r="J32" s="25"/>
      <c r="K32" s="33"/>
      <c r="L32" s="33"/>
      <c r="M32" s="25"/>
      <c r="N32" s="26"/>
      <c r="O32" s="26"/>
      <c r="P32" s="25"/>
      <c r="Q32" s="25"/>
      <c r="R32" s="28"/>
      <c r="S32" s="28"/>
      <c r="T32" s="27"/>
      <c r="U32" s="28"/>
      <c r="V32" s="28"/>
      <c r="W32" s="27"/>
      <c r="X32" s="28"/>
      <c r="Y32" s="28"/>
      <c r="Z32" s="27"/>
      <c r="AA32" s="27"/>
      <c r="AB32" s="27"/>
      <c r="AC32" s="27"/>
      <c r="AD32" s="30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customFormat="false" ht="15" hidden="false" customHeight="true" outlineLevel="0" collapsed="false">
      <c r="A33" s="19"/>
      <c r="B33" s="19"/>
      <c r="C33" s="19"/>
      <c r="D33" s="19"/>
      <c r="E33" s="19"/>
      <c r="F33" s="19"/>
      <c r="G33" s="19"/>
      <c r="H33" s="26"/>
      <c r="I33" s="26"/>
      <c r="J33" s="25"/>
      <c r="K33" s="33"/>
      <c r="L33" s="33"/>
      <c r="M33" s="25"/>
      <c r="N33" s="26"/>
      <c r="O33" s="26"/>
      <c r="P33" s="25"/>
      <c r="Q33" s="25"/>
      <c r="R33" s="28"/>
      <c r="S33" s="28"/>
      <c r="T33" s="27"/>
      <c r="U33" s="28"/>
      <c r="V33" s="28"/>
      <c r="W33" s="27"/>
      <c r="X33" s="28"/>
      <c r="Y33" s="28"/>
      <c r="Z33" s="27"/>
      <c r="AA33" s="27"/>
      <c r="AB33" s="27"/>
      <c r="AC33" s="27"/>
      <c r="AD33" s="30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customFormat="false" ht="15" hidden="false" customHeight="true" outlineLevel="0" collapsed="false">
      <c r="A34" s="19"/>
      <c r="B34" s="19"/>
      <c r="C34" s="19"/>
      <c r="D34" s="19"/>
      <c r="E34" s="19"/>
      <c r="F34" s="19"/>
      <c r="G34" s="19"/>
      <c r="H34" s="26"/>
      <c r="I34" s="26"/>
      <c r="J34" s="25"/>
      <c r="K34" s="33"/>
      <c r="L34" s="33"/>
      <c r="M34" s="25"/>
      <c r="N34" s="26"/>
      <c r="O34" s="26"/>
      <c r="P34" s="25"/>
      <c r="Q34" s="25"/>
      <c r="R34" s="28"/>
      <c r="S34" s="28"/>
      <c r="T34" s="27"/>
      <c r="U34" s="28"/>
      <c r="V34" s="28"/>
      <c r="W34" s="27"/>
      <c r="X34" s="28"/>
      <c r="Y34" s="28"/>
      <c r="Z34" s="27"/>
      <c r="AA34" s="27"/>
      <c r="AB34" s="27"/>
      <c r="AC34" s="27"/>
      <c r="AD34" s="30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customFormat="false" ht="15" hidden="false" customHeight="true" outlineLevel="0" collapsed="false">
      <c r="A35" s="19" t="str">
        <f aca="false">IF(OR($E35="",$E35="---"),"---",WEEKDAY($E35,2))</f>
        <v>---</v>
      </c>
      <c r="B35" s="21" t="str">
        <f aca="false">IF(OR($E35="",$E35="---"),"---", IF(AND($A35&gt;5,$G35&lt;&gt;"---"),4, IF($G35&lt;&gt;"---",3, IF($A35&gt;5,2, 1))))</f>
        <v>---</v>
      </c>
      <c r="C35" s="22" t="str">
        <f aca="false">IF($B35="---","---",  IF($B35=4,"SVÁTEK + VÍKEND",  IF($B35=3,"SVÁTEK",  IF($B35=2,"VÍKEND",  "PRACOVNÍ DEN"))))</f>
        <v>---</v>
      </c>
      <c r="D35" s="9" t="str">
        <f aca="false">IF(OR($E35="",$E35="---"),"---",WEEKNUM($E35,2))</f>
        <v>---</v>
      </c>
      <c r="E35" s="32" t="str">
        <f aca="false">IF($E31="","---",IF($E31="---","---",IF(MONTH($E31+1)=MONTH($E31),$E31+1,"---")))</f>
        <v>---</v>
      </c>
      <c r="F35" s="21" t="str">
        <f aca="false">IF($E35="","---",IF($E35="---","---",IF($E35&gt;0,CHOOSE(WEEKDAY($E35,2),"Po","Út","St","Čt","Pá","So","Ne"))))</f>
        <v>---</v>
      </c>
      <c r="G35" s="16" t="str">
        <f aca="false">IF($F35="---","---", IF(AND($A$1&lt;&gt;"---",$E35=$A$1-2),"Velký pátek", IF(AND($A$1&lt;&gt;"---",$E35=$A$1+1),"Velikonoční pondělí", IF(AND(DAY($E35)=1, MONTH($E35)=1),"Den obnovy samostatného českého státu / Nový rok", IF(AND(DAY($E35)=1, MONTH($E35)=5),"Svátek práce", IF(AND(DAY($E35)=8, MONTH($E35)=5),"Den vítězství", IF(AND(DAY($E35)=5, MONTH($E35)=7),"Den slovanských věrozvěstů Cyrila a Metoděje", IF(AND(DAY($E35)=6, MONTH($E35)=7),"Den upálení mistra Jana Husa", IF(AND(DAY($E35)=28, MONTH($E35)=9),"Den české státnosti (sv. Václav)", IF(AND(DAY($E35)=28, MONTH($E35)=10),"Den vzniku samostatného československého státu", IF(AND(DAY($E35)=17, MONTH($E35)=11),"Den boje za svobodu a demokracii", IF(AND(DAY($E35)=24, MONTH($E35)=12),"Štědrý den", IF(AND(DAY($E35)=25, MONTH($E35)=12),"1. svátek vánoční", IF(AND(DAY($E35)=26, MONTH($E35)=12),"2. svátek vánoční", "---"))))))))))))))</f>
        <v>---</v>
      </c>
      <c r="H35" s="33"/>
      <c r="I35" s="33"/>
      <c r="J35" s="25" t="n">
        <f aca="false">IF($H35="",0,IF($I35="",0,IF($I35&lt;$H35,"Čas konce je opravdu mensi?",$I35-$H35)))</f>
        <v>0</v>
      </c>
      <c r="K35" s="33"/>
      <c r="L35" s="33"/>
      <c r="M35" s="25" t="n">
        <f aca="false">IF($K35="",0,IF($L35="",0,IF($L35&lt;$K35,"Čas konce je opravdu menší?",$L35-$K35)))</f>
        <v>0</v>
      </c>
      <c r="N35" s="26"/>
      <c r="O35" s="26"/>
      <c r="P35" s="25" t="n">
        <f aca="false">IF($N35="",0,IF($O35="",0,IF($O35&lt;$N35,"Čas konce je opravdu menší?",$O35-$N35)))</f>
        <v>0</v>
      </c>
      <c r="Q35" s="27" t="n">
        <f aca="false">$J35+$M35+$P35</f>
        <v>0</v>
      </c>
      <c r="R35" s="28" t="n">
        <f aca="false">IF(OR($H35="",$I35=""),0, IF($I35&gt;22/24, MAX($H35,22/24), IF($H35&lt;6/24, $H35,0)))</f>
        <v>0</v>
      </c>
      <c r="S35" s="28" t="n">
        <f aca="false">IF(OR($H35="",$I35=""),0,IF($I35&gt;22/24,MIN($I35,1),IF($H35&lt;6/24,MIN($I35,6/24),0)))</f>
        <v>0</v>
      </c>
      <c r="T35" s="27" t="n">
        <f aca="false">IF(OR($H35="",$I35=""),0, 
   MAX(0, MIN($I35,1) - MAX($H35,22/24))
 + MAX(0, MIN($I35,6/24) - MAX($H35,0))
)</f>
        <v>0</v>
      </c>
      <c r="U35" s="28" t="n">
        <f aca="false">IF(OR($K35="",$L35=""),0, IF($L35&gt;22/24, MAX($K35,22/24), IF($K35&lt;6/24, $K35,0)))</f>
        <v>0</v>
      </c>
      <c r="V35" s="28" t="n">
        <f aca="false">IF(OR($K35="",$L35=""),0,IF($L35&gt;22/24,MIN($L35,1),IF($K35&lt;6/24,MIN($L35,6/24),0)))</f>
        <v>0</v>
      </c>
      <c r="W35" s="27" t="n">
        <f aca="false">IF(OR($K35="",$L35=""),0, 
   MAX(0, MIN($L35,1) - MAX($K35,22/24))
 + MAX(0, MIN($L35,6/24) - MAX($K35,0))
)</f>
        <v>0</v>
      </c>
      <c r="X35" s="28" t="n">
        <f aca="false">IF(OR($N35="",$O35=""),0, IF($O35&gt;22/24, MAX($N35,22/24), IF($N35&lt;6/24, $N35,0)))</f>
        <v>0</v>
      </c>
      <c r="Y35" s="28" t="n">
        <f aca="false">IF(OR($N35="",$O35=""),0,IF($O35&gt;22/24,MIN($O35,1),IF($N35&lt;6/24,MIN($O35,6/24),0)))</f>
        <v>0</v>
      </c>
      <c r="Z35" s="27" t="n">
        <f aca="false">IF(OR($N35="",$O35=""),0, 
   MAX(0, MIN($O35,1) - MAX($N35,22/24))
 + MAX(0, MIN($O35,6/24) - MAX($N35,0))
)</f>
        <v>0</v>
      </c>
      <c r="AA35" s="29" t="str">
        <f aca="false">TEXT(INT($AG35/60),"00")  &amp; ":"  &amp; TEXT(MOD($AG35,60),"00")  &amp; ":00"</f>
        <v>00:00:00</v>
      </c>
      <c r="AB35" s="27" t="n">
        <f aca="false">$T35+$W35+$Z35</f>
        <v>0</v>
      </c>
      <c r="AC35" s="27" t="n">
        <f aca="false">IF(OR($F35="So",$F35="Ne"),$Q35,0)</f>
        <v>0</v>
      </c>
      <c r="AD35" s="30" t="n">
        <f aca="false">IF($G35&lt;&gt;"---", $Q35,0)</f>
        <v>0</v>
      </c>
      <c r="AE35" s="31" t="n">
        <f aca="false">($J35*1440) +($M35*1440) +($P35*1440)</f>
        <v>0</v>
      </c>
      <c r="AF35" s="31" t="n">
        <f aca="false">$AE35/60</f>
        <v>0</v>
      </c>
      <c r="AG35" s="31" t="n">
        <f aca="false">IF(OR($B35="", $B35="---"),0,     IF($B35=1,         MAX(0,$AE35 -480),$AE35     ))</f>
        <v>0</v>
      </c>
      <c r="AH35" s="31" t="n">
        <f aca="false">$AG35/60</f>
        <v>0</v>
      </c>
      <c r="AI35" s="31" t="n">
        <f aca="false">($T35+$W35+$Z35)*1440</f>
        <v>0</v>
      </c>
      <c r="AJ35" s="31" t="n">
        <f aca="false">$AI35/60</f>
        <v>0</v>
      </c>
      <c r="AK35" s="31" t="n">
        <f aca="false">(AC35)*1440</f>
        <v>0</v>
      </c>
      <c r="AL35" s="31" t="n">
        <f aca="false">$AK35/60</f>
        <v>0</v>
      </c>
      <c r="AM35" s="31" t="n">
        <f aca="false">($AD35)*1440</f>
        <v>0</v>
      </c>
      <c r="AN35" s="31" t="n">
        <f aca="false">$AM35/60</f>
        <v>0</v>
      </c>
    </row>
    <row r="36" customFormat="false" ht="15" hidden="false" customHeight="true" outlineLevel="0" collapsed="false">
      <c r="A36" s="19"/>
      <c r="B36" s="19"/>
      <c r="C36" s="19"/>
      <c r="D36" s="19"/>
      <c r="E36" s="19"/>
      <c r="F36" s="19"/>
      <c r="G36" s="19"/>
      <c r="H36" s="33"/>
      <c r="I36" s="33"/>
      <c r="J36" s="25"/>
      <c r="K36" s="33"/>
      <c r="L36" s="33"/>
      <c r="M36" s="25"/>
      <c r="N36" s="26"/>
      <c r="O36" s="26"/>
      <c r="P36" s="25"/>
      <c r="Q36" s="25"/>
      <c r="R36" s="28"/>
      <c r="S36" s="28"/>
      <c r="T36" s="27"/>
      <c r="U36" s="28"/>
      <c r="V36" s="28"/>
      <c r="W36" s="27"/>
      <c r="X36" s="28"/>
      <c r="Y36" s="28"/>
      <c r="Z36" s="27"/>
      <c r="AA36" s="27"/>
      <c r="AB36" s="27"/>
      <c r="AC36" s="27"/>
      <c r="AD36" s="30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customFormat="false" ht="15" hidden="false" customHeight="true" outlineLevel="0" collapsed="false">
      <c r="A37" s="19"/>
      <c r="B37" s="19"/>
      <c r="C37" s="19"/>
      <c r="D37" s="19"/>
      <c r="E37" s="19"/>
      <c r="F37" s="19"/>
      <c r="G37" s="19"/>
      <c r="H37" s="33"/>
      <c r="I37" s="33"/>
      <c r="J37" s="25"/>
      <c r="K37" s="33"/>
      <c r="L37" s="33"/>
      <c r="M37" s="25"/>
      <c r="N37" s="26"/>
      <c r="O37" s="26"/>
      <c r="P37" s="25"/>
      <c r="Q37" s="25"/>
      <c r="R37" s="28"/>
      <c r="S37" s="28"/>
      <c r="T37" s="27"/>
      <c r="U37" s="28"/>
      <c r="V37" s="28"/>
      <c r="W37" s="27"/>
      <c r="X37" s="28"/>
      <c r="Y37" s="28"/>
      <c r="Z37" s="27"/>
      <c r="AA37" s="27"/>
      <c r="AB37" s="27"/>
      <c r="AC37" s="27"/>
      <c r="AD37" s="30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customFormat="false" ht="15" hidden="false" customHeight="true" outlineLevel="0" collapsed="false">
      <c r="A38" s="19"/>
      <c r="B38" s="19"/>
      <c r="C38" s="19"/>
      <c r="D38" s="19"/>
      <c r="E38" s="19"/>
      <c r="F38" s="19"/>
      <c r="G38" s="19"/>
      <c r="H38" s="33"/>
      <c r="I38" s="33"/>
      <c r="J38" s="25"/>
      <c r="K38" s="33"/>
      <c r="L38" s="33"/>
      <c r="M38" s="25"/>
      <c r="N38" s="26"/>
      <c r="O38" s="26"/>
      <c r="P38" s="25"/>
      <c r="Q38" s="25"/>
      <c r="R38" s="28"/>
      <c r="S38" s="28"/>
      <c r="T38" s="27"/>
      <c r="U38" s="28"/>
      <c r="V38" s="28"/>
      <c r="W38" s="27"/>
      <c r="X38" s="28"/>
      <c r="Y38" s="28"/>
      <c r="Z38" s="27"/>
      <c r="AA38" s="27"/>
      <c r="AB38" s="27"/>
      <c r="AC38" s="27"/>
      <c r="AD38" s="30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customFormat="false" ht="15" hidden="false" customHeight="true" outlineLevel="0" collapsed="false">
      <c r="A39" s="19" t="str">
        <f aca="false">IF(OR($E39="",$E39="---"),"---",WEEKDAY($E39,2))</f>
        <v>---</v>
      </c>
      <c r="B39" s="21" t="str">
        <f aca="false">IF(OR($E39="",$E39="---"),"---", IF(AND($A39&gt;5,$G39&lt;&gt;"---"),4, IF($G39&lt;&gt;"---",3, IF($A39&gt;5,2, 1))))</f>
        <v>---</v>
      </c>
      <c r="C39" s="22" t="str">
        <f aca="false">IF($B39="---","---",  IF($B39=4,"SVÁTEK + VÍKEND",  IF($B39=3,"SVÁTEK",  IF($B39=2,"VÍKEND",  "PRACOVNÍ DEN"))))</f>
        <v>---</v>
      </c>
      <c r="D39" s="9" t="str">
        <f aca="false">IF(OR($E39="",$E39="---"),"---",WEEKNUM($E39,2))</f>
        <v>---</v>
      </c>
      <c r="E39" s="32" t="str">
        <f aca="false">IF($E35="","---",IF($E35="---","---",IF(MONTH($E35+1)=MONTH($E35),$E35+1,"---")))</f>
        <v>---</v>
      </c>
      <c r="F39" s="21" t="str">
        <f aca="false">IF($E39="","---",IF($E39="---","---",IF($E39&gt;0,CHOOSE(WEEKDAY($E39,2),"Po","Út","St","Čt","Pá","So","Ne"))))</f>
        <v>---</v>
      </c>
      <c r="G39" s="16" t="str">
        <f aca="false">IF($F39="---","---", IF(AND($A$1&lt;&gt;"---",$E39=$A$1-2),"Velký pátek", IF(AND($A$1&lt;&gt;"---",$E39=$A$1+1),"Velikonoční pondělí", IF(AND(DAY($E39)=1, MONTH($E39)=1),"Den obnovy samostatného českého státu / Nový rok", IF(AND(DAY($E39)=1, MONTH($E39)=5),"Svátek práce", IF(AND(DAY($E39)=8, MONTH($E39)=5),"Den vítězství", IF(AND(DAY($E39)=5, MONTH($E39)=7),"Den slovanských věrozvěstů Cyrila a Metoděje", IF(AND(DAY($E39)=6, MONTH($E39)=7),"Den upálení mistra Jana Husa", IF(AND(DAY($E39)=28, MONTH($E39)=9),"Den české státnosti (sv. Václav)", IF(AND(DAY($E39)=28, MONTH($E39)=10),"Den vzniku samostatného československého státu", IF(AND(DAY($E39)=17, MONTH($E39)=11),"Den boje za svobodu a demokracii", IF(AND(DAY($E39)=24, MONTH($E39)=12),"Štědrý den", IF(AND(DAY($E39)=25, MONTH($E39)=12),"1. svátek vánoční", IF(AND(DAY($E39)=26, MONTH($E39)=12),"2. svátek vánoční", "---"))))))))))))))</f>
        <v>---</v>
      </c>
      <c r="H39" s="26"/>
      <c r="I39" s="26"/>
      <c r="J39" s="25" t="n">
        <f aca="false">IF($H39="",0,IF($I39="",0,IF($I39&lt;$H39,"Čas konce je opravdu mensi?",$I39-$H39)))</f>
        <v>0</v>
      </c>
      <c r="K39" s="33"/>
      <c r="L39" s="33"/>
      <c r="M39" s="25" t="n">
        <f aca="false">IF($K39="",0,IF($L39="",0,IF($L39&lt;$K39,"Čas konce je opravdu menší?",$L39-$K39)))</f>
        <v>0</v>
      </c>
      <c r="N39" s="26"/>
      <c r="O39" s="26"/>
      <c r="P39" s="25" t="n">
        <f aca="false">IF($N39="",0,IF($O39="",0,IF($O39&lt;$N39,"Čas konce je opravdu menší?",$O39-$N39)))</f>
        <v>0</v>
      </c>
      <c r="Q39" s="27" t="n">
        <f aca="false">$J39+$M39+$P39</f>
        <v>0</v>
      </c>
      <c r="R39" s="28" t="n">
        <f aca="false">IF(OR($H39="",$I39=""),0, IF($I39&gt;22/24, MAX($H39,22/24), IF($H39&lt;6/24, $H39,0)))</f>
        <v>0</v>
      </c>
      <c r="S39" s="28" t="n">
        <f aca="false">IF(OR($H39="",$I39=""),0,IF($I39&gt;22/24,MIN($I39,1),IF($H39&lt;6/24,MIN($I39,6/24),0)))</f>
        <v>0</v>
      </c>
      <c r="T39" s="27" t="n">
        <f aca="false">IF(OR($H39="",$I39=""),0, 
   MAX(0, MIN($I39,1) - MAX($H39,22/24))
 + MAX(0, MIN($I39,6/24) - MAX($H39,0))
)</f>
        <v>0</v>
      </c>
      <c r="U39" s="28" t="n">
        <f aca="false">IF(OR($K39="",$L39=""),0, IF($L39&gt;22/24, MAX($K39,22/24), IF($K39&lt;6/24, $K39,0)))</f>
        <v>0</v>
      </c>
      <c r="V39" s="28" t="n">
        <f aca="false">IF(OR($K39="",$L39=""),0,IF($L39&gt;22/24,MIN($L39,1),IF($K39&lt;6/24,MIN($L39,6/24),0)))</f>
        <v>0</v>
      </c>
      <c r="W39" s="27" t="n">
        <f aca="false">IF(OR($K39="",$L39=""),0, 
   MAX(0, MIN($L39,1) - MAX($K39,22/24))
 + MAX(0, MIN($L39,6/24) - MAX($K39,0))
)</f>
        <v>0</v>
      </c>
      <c r="X39" s="28" t="n">
        <f aca="false">IF(OR($N39="",$O39=""),0, IF($O39&gt;22/24, MAX($N39,22/24), IF($N39&lt;6/24, $N39,0)))</f>
        <v>0</v>
      </c>
      <c r="Y39" s="28" t="n">
        <f aca="false">IF(OR($N39="",$O39=""),0,IF($O39&gt;22/24,MIN($O39,1),IF($N39&lt;6/24,MIN($O39,6/24),0)))</f>
        <v>0</v>
      </c>
      <c r="Z39" s="27" t="n">
        <f aca="false">IF(OR($N39="",$O39=""),0, 
   MAX(0, MIN($O39,1) - MAX($N39,22/24))
 + MAX(0, MIN($O39,6/24) - MAX($N39,0))
)</f>
        <v>0</v>
      </c>
      <c r="AA39" s="29" t="str">
        <f aca="false">TEXT(INT($AG39/60),"00")  &amp; ":"  &amp; TEXT(MOD($AG39,60),"00")  &amp; ":00"</f>
        <v>00:00:00</v>
      </c>
      <c r="AB39" s="27" t="n">
        <f aca="false">$T39+$W39+$Z39</f>
        <v>0</v>
      </c>
      <c r="AC39" s="27" t="n">
        <f aca="false">IF(OR($F39="So",$F39="Ne"),$Q39,0)</f>
        <v>0</v>
      </c>
      <c r="AD39" s="30" t="n">
        <f aca="false">IF($G39&lt;&gt;"---", $Q39,0)</f>
        <v>0</v>
      </c>
      <c r="AE39" s="31" t="n">
        <f aca="false">($J39*1440) +($M39*1440) +($P39*1440)</f>
        <v>0</v>
      </c>
      <c r="AF39" s="31" t="n">
        <f aca="false">$AE39/60</f>
        <v>0</v>
      </c>
      <c r="AG39" s="31" t="n">
        <f aca="false">IF(OR($B39="", $B39="---"),0,     IF($B39=1,         MAX(0,$AE39 -480),$AE39     ))</f>
        <v>0</v>
      </c>
      <c r="AH39" s="31" t="n">
        <f aca="false">$AG39/60</f>
        <v>0</v>
      </c>
      <c r="AI39" s="31" t="n">
        <f aca="false">($T39+$W39+$Z39)*1440</f>
        <v>0</v>
      </c>
      <c r="AJ39" s="31" t="n">
        <f aca="false">$AI39/60</f>
        <v>0</v>
      </c>
      <c r="AK39" s="31" t="n">
        <f aca="false">(AC39)*1440</f>
        <v>0</v>
      </c>
      <c r="AL39" s="31" t="n">
        <f aca="false">$AK39/60</f>
        <v>0</v>
      </c>
      <c r="AM39" s="31" t="n">
        <f aca="false">($AD39)*1440</f>
        <v>0</v>
      </c>
      <c r="AN39" s="31" t="n">
        <f aca="false">$AM39/60</f>
        <v>0</v>
      </c>
    </row>
    <row r="40" customFormat="false" ht="15" hidden="false" customHeight="true" outlineLevel="0" collapsed="false">
      <c r="A40" s="19"/>
      <c r="B40" s="19"/>
      <c r="C40" s="19"/>
      <c r="D40" s="19"/>
      <c r="E40" s="19"/>
      <c r="F40" s="19"/>
      <c r="G40" s="19"/>
      <c r="H40" s="26"/>
      <c r="I40" s="26"/>
      <c r="J40" s="25"/>
      <c r="K40" s="33"/>
      <c r="L40" s="33"/>
      <c r="M40" s="25"/>
      <c r="N40" s="26"/>
      <c r="O40" s="26"/>
      <c r="P40" s="25"/>
      <c r="Q40" s="25"/>
      <c r="R40" s="28"/>
      <c r="S40" s="28"/>
      <c r="T40" s="27"/>
      <c r="U40" s="28"/>
      <c r="V40" s="28"/>
      <c r="W40" s="27"/>
      <c r="X40" s="28"/>
      <c r="Y40" s="28"/>
      <c r="Z40" s="27"/>
      <c r="AA40" s="27"/>
      <c r="AB40" s="27"/>
      <c r="AC40" s="27"/>
      <c r="AD40" s="30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customFormat="false" ht="15" hidden="false" customHeight="true" outlineLevel="0" collapsed="false">
      <c r="A41" s="19"/>
      <c r="B41" s="19"/>
      <c r="C41" s="19"/>
      <c r="D41" s="19"/>
      <c r="E41" s="19"/>
      <c r="F41" s="19"/>
      <c r="G41" s="19"/>
      <c r="H41" s="26"/>
      <c r="I41" s="26"/>
      <c r="J41" s="25"/>
      <c r="K41" s="33"/>
      <c r="L41" s="33"/>
      <c r="M41" s="25"/>
      <c r="N41" s="26"/>
      <c r="O41" s="26"/>
      <c r="P41" s="25"/>
      <c r="Q41" s="25"/>
      <c r="R41" s="28"/>
      <c r="S41" s="28"/>
      <c r="T41" s="27"/>
      <c r="U41" s="28"/>
      <c r="V41" s="28"/>
      <c r="W41" s="27"/>
      <c r="X41" s="28"/>
      <c r="Y41" s="28"/>
      <c r="Z41" s="27"/>
      <c r="AA41" s="27"/>
      <c r="AB41" s="27"/>
      <c r="AC41" s="27"/>
      <c r="AD41" s="30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customFormat="false" ht="15" hidden="false" customHeight="true" outlineLevel="0" collapsed="false">
      <c r="A42" s="19"/>
      <c r="B42" s="19"/>
      <c r="C42" s="19"/>
      <c r="D42" s="19"/>
      <c r="E42" s="19"/>
      <c r="F42" s="19"/>
      <c r="G42" s="19"/>
      <c r="H42" s="26"/>
      <c r="I42" s="26"/>
      <c r="J42" s="25"/>
      <c r="K42" s="33"/>
      <c r="L42" s="33"/>
      <c r="M42" s="25"/>
      <c r="N42" s="26"/>
      <c r="O42" s="26"/>
      <c r="P42" s="25"/>
      <c r="Q42" s="25"/>
      <c r="R42" s="28"/>
      <c r="S42" s="28"/>
      <c r="T42" s="27"/>
      <c r="U42" s="28"/>
      <c r="V42" s="28"/>
      <c r="W42" s="27"/>
      <c r="X42" s="28"/>
      <c r="Y42" s="28"/>
      <c r="Z42" s="27"/>
      <c r="AA42" s="27"/>
      <c r="AB42" s="27"/>
      <c r="AC42" s="27"/>
      <c r="AD42" s="30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customFormat="false" ht="15" hidden="false" customHeight="true" outlineLevel="0" collapsed="false">
      <c r="A43" s="19" t="str">
        <f aca="false">IF(OR($E43="",$E43="---"),"---",WEEKDAY($E43,2))</f>
        <v>---</v>
      </c>
      <c r="B43" s="21" t="str">
        <f aca="false">IF(OR($E43="",$E43="---"),"---", IF(AND($A43&gt;5,$G43&lt;&gt;"---"),4, IF($G43&lt;&gt;"---",3, IF($A43&gt;5,2, 1))))</f>
        <v>---</v>
      </c>
      <c r="C43" s="22" t="str">
        <f aca="false">IF($B43="---","---",  IF($B43=4,"SVÁTEK + VÍKEND",  IF($B43=3,"SVÁTEK",  IF($B43=2,"VÍKEND",  "PRACOVNÍ DEN"))))</f>
        <v>---</v>
      </c>
      <c r="D43" s="9" t="str">
        <f aca="false">IF(OR($E43="",$E43="---"),"---",WEEKNUM($E43,2))</f>
        <v>---</v>
      </c>
      <c r="E43" s="32" t="str">
        <f aca="false">IF($E39="","---",IF($E39="---","---",IF(MONTH($E39+1)=MONTH($E39),$E39+1,"---")))</f>
        <v>---</v>
      </c>
      <c r="F43" s="21" t="str">
        <f aca="false">IF($E43="","---",IF($E43="---","---",IF($E43&gt;0,CHOOSE(WEEKDAY($E43,2),"Po","Út","St","Čt","Pá","So","Ne"))))</f>
        <v>---</v>
      </c>
      <c r="G43" s="16" t="str">
        <f aca="false">IF($F43="---","---", IF(AND($A$1&lt;&gt;"---",$E43=$A$1-2),"Velký pátek", IF(AND($A$1&lt;&gt;"---",$E43=$A$1+1),"Velikonoční pondělí", IF(AND(DAY($E43)=1, MONTH($E43)=1),"Den obnovy samostatného českého státu / Nový rok", IF(AND(DAY($E43)=1, MONTH($E43)=5),"Svátek práce", IF(AND(DAY($E43)=8, MONTH($E43)=5),"Den vítězství", IF(AND(DAY($E43)=5, MONTH($E43)=7),"Den slovanských věrozvěstů Cyrila a Metoděje", IF(AND(DAY($E43)=6, MONTH($E43)=7),"Den upálení mistra Jana Husa", IF(AND(DAY($E43)=28, MONTH($E43)=9),"Den české státnosti (sv. Václav)", IF(AND(DAY($E43)=28, MONTH($E43)=10),"Den vzniku samostatného československého státu", IF(AND(DAY($E43)=17, MONTH($E43)=11),"Den boje za svobodu a demokracii", IF(AND(DAY($E43)=24, MONTH($E43)=12),"Štědrý den", IF(AND(DAY($E43)=25, MONTH($E43)=12),"1. svátek vánoční", IF(AND(DAY($E43)=26, MONTH($E43)=12),"2. svátek vánoční", "---"))))))))))))))</f>
        <v>---</v>
      </c>
      <c r="H43" s="26"/>
      <c r="I43" s="34"/>
      <c r="J43" s="25" t="n">
        <f aca="false">IF($H43="",0,IF($I43="",0,IF($I43&lt;$H43,"Čas konce je opravdu mensi?",$I43-$H43)))</f>
        <v>0</v>
      </c>
      <c r="K43" s="33"/>
      <c r="L43" s="33"/>
      <c r="M43" s="25" t="n">
        <f aca="false">IF($K43="",0,IF($L43="",0,IF($L43&lt;$K43,"Čas konce je opravdu menší?",$L43-$K43)))</f>
        <v>0</v>
      </c>
      <c r="N43" s="26"/>
      <c r="O43" s="26"/>
      <c r="P43" s="25" t="n">
        <f aca="false">IF($N43="",0,IF($O43="",0,IF($O43&lt;$N43,"Čas konce je opravdu menší?",$O43-$N43)))</f>
        <v>0</v>
      </c>
      <c r="Q43" s="27" t="n">
        <f aca="false">$J43+$M43+$P43</f>
        <v>0</v>
      </c>
      <c r="R43" s="28" t="n">
        <f aca="false">IF(OR($H43="",$I43=""),0, IF($I43&gt;22/24, MAX($H43,22/24), IF($H43&lt;6/24, $H43,0)))</f>
        <v>0</v>
      </c>
      <c r="S43" s="28" t="n">
        <f aca="false">IF(OR($H43="",$I43=""),0,IF($I43&gt;22/24,MIN($I43,1),IF($H43&lt;6/24,MIN($I43,6/24),0)))</f>
        <v>0</v>
      </c>
      <c r="T43" s="27" t="n">
        <f aca="false">IF(OR($H43="",$I43=""),0, 
   MAX(0, MIN($I43,1) - MAX($H43,22/24))
 + MAX(0, MIN($I43,6/24) - MAX($H43,0))
)</f>
        <v>0</v>
      </c>
      <c r="U43" s="28" t="n">
        <f aca="false">IF(OR($K43="",$L43=""),0, IF($L43&gt;22/24, MAX($K43,22/24), IF($K43&lt;6/24, $K43,0)))</f>
        <v>0</v>
      </c>
      <c r="V43" s="28" t="n">
        <f aca="false">IF(OR($K43="",$L43=""),0,IF($L43&gt;22/24,MIN($L43,1),IF($K43&lt;6/24,MIN($L43,6/24),0)))</f>
        <v>0</v>
      </c>
      <c r="W43" s="27" t="n">
        <f aca="false">IF(OR($K43="",$L43=""),0, 
   MAX(0, MIN($L43,1) - MAX($K43,22/24))
 + MAX(0, MIN($L43,6/24) - MAX($K43,0))
)</f>
        <v>0</v>
      </c>
      <c r="X43" s="28" t="n">
        <f aca="false">IF(OR($N43="",$O43=""),0, IF($O43&gt;22/24, MAX($N43,22/24), IF($N43&lt;6/24, $N43,0)))</f>
        <v>0</v>
      </c>
      <c r="Y43" s="28" t="n">
        <f aca="false">IF(OR($N43="",$O43=""),0,IF($O43&gt;22/24,MIN($O43,1),IF($N43&lt;6/24,MIN($O43,6/24),0)))</f>
        <v>0</v>
      </c>
      <c r="Z43" s="27" t="n">
        <f aca="false">IF(OR($N43="",$O43=""),0, 
   MAX(0, MIN($O43,1) - MAX($N43,22/24))
 + MAX(0, MIN($O43,6/24) - MAX($N43,0))
)</f>
        <v>0</v>
      </c>
      <c r="AA43" s="29" t="str">
        <f aca="false">TEXT(INT($AG43/60),"00")  &amp; ":"  &amp; TEXT(MOD($AG43,60),"00")  &amp; ":00"</f>
        <v>00:00:00</v>
      </c>
      <c r="AB43" s="27" t="n">
        <f aca="false">$T43+$W43+$Z43</f>
        <v>0</v>
      </c>
      <c r="AC43" s="27" t="n">
        <f aca="false">IF(OR($F43="So",$F43="Ne"),$Q43,0)</f>
        <v>0</v>
      </c>
      <c r="AD43" s="30" t="n">
        <f aca="false">IF($G43&lt;&gt;"---", $Q43,0)</f>
        <v>0</v>
      </c>
      <c r="AE43" s="31" t="n">
        <f aca="false">($J43*1440) +($M43*1440) +($P43*1440)</f>
        <v>0</v>
      </c>
      <c r="AF43" s="31" t="n">
        <f aca="false">$AE43/60</f>
        <v>0</v>
      </c>
      <c r="AG43" s="31" t="n">
        <f aca="false">IF(OR($B43="", $B43="---"),0,     IF($B43=1,         MAX(0,$AE43 -480),$AE43     ))</f>
        <v>0</v>
      </c>
      <c r="AH43" s="31" t="n">
        <f aca="false">$AG43/60</f>
        <v>0</v>
      </c>
      <c r="AI43" s="31" t="n">
        <f aca="false">($T43+$W43+$Z43)*1440</f>
        <v>0</v>
      </c>
      <c r="AJ43" s="31" t="n">
        <f aca="false">$AI43/60</f>
        <v>0</v>
      </c>
      <c r="AK43" s="31" t="n">
        <f aca="false">(AC43)*1440</f>
        <v>0</v>
      </c>
      <c r="AL43" s="31" t="n">
        <f aca="false">$AK43/60</f>
        <v>0</v>
      </c>
      <c r="AM43" s="31" t="n">
        <f aca="false">($AD43)*1440</f>
        <v>0</v>
      </c>
      <c r="AN43" s="31" t="n">
        <f aca="false">$AM43/60</f>
        <v>0</v>
      </c>
    </row>
    <row r="44" customFormat="false" ht="15" hidden="false" customHeight="true" outlineLevel="0" collapsed="false">
      <c r="A44" s="19"/>
      <c r="B44" s="19"/>
      <c r="C44" s="19"/>
      <c r="D44" s="19"/>
      <c r="E44" s="19"/>
      <c r="F44" s="19"/>
      <c r="G44" s="19"/>
      <c r="H44" s="26"/>
      <c r="I44" s="26"/>
      <c r="J44" s="25"/>
      <c r="K44" s="33"/>
      <c r="L44" s="33"/>
      <c r="M44" s="25"/>
      <c r="N44" s="26"/>
      <c r="O44" s="26"/>
      <c r="P44" s="25"/>
      <c r="Q44" s="25"/>
      <c r="R44" s="28"/>
      <c r="S44" s="28"/>
      <c r="T44" s="27"/>
      <c r="U44" s="28"/>
      <c r="V44" s="28"/>
      <c r="W44" s="27"/>
      <c r="X44" s="28"/>
      <c r="Y44" s="28"/>
      <c r="Z44" s="27"/>
      <c r="AA44" s="27"/>
      <c r="AB44" s="27"/>
      <c r="AC44" s="27"/>
      <c r="AD44" s="30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customFormat="false" ht="15" hidden="false" customHeight="true" outlineLevel="0" collapsed="false">
      <c r="A45" s="19"/>
      <c r="B45" s="19"/>
      <c r="C45" s="19"/>
      <c r="D45" s="19"/>
      <c r="E45" s="19"/>
      <c r="F45" s="19"/>
      <c r="G45" s="19"/>
      <c r="H45" s="26"/>
      <c r="I45" s="26"/>
      <c r="J45" s="25"/>
      <c r="K45" s="33"/>
      <c r="L45" s="33"/>
      <c r="M45" s="25"/>
      <c r="N45" s="26"/>
      <c r="O45" s="26"/>
      <c r="P45" s="25"/>
      <c r="Q45" s="25"/>
      <c r="R45" s="28"/>
      <c r="S45" s="28"/>
      <c r="T45" s="27"/>
      <c r="U45" s="28"/>
      <c r="V45" s="28"/>
      <c r="W45" s="27"/>
      <c r="X45" s="28"/>
      <c r="Y45" s="28"/>
      <c r="Z45" s="27"/>
      <c r="AA45" s="27"/>
      <c r="AB45" s="27"/>
      <c r="AC45" s="27"/>
      <c r="AD45" s="30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customFormat="false" ht="15" hidden="false" customHeight="true" outlineLevel="0" collapsed="false">
      <c r="A46" s="19"/>
      <c r="B46" s="19"/>
      <c r="C46" s="19"/>
      <c r="D46" s="19"/>
      <c r="E46" s="19"/>
      <c r="F46" s="19"/>
      <c r="G46" s="19"/>
      <c r="H46" s="26"/>
      <c r="I46" s="26"/>
      <c r="J46" s="25"/>
      <c r="K46" s="33"/>
      <c r="L46" s="33"/>
      <c r="M46" s="25"/>
      <c r="N46" s="26"/>
      <c r="O46" s="26"/>
      <c r="P46" s="25"/>
      <c r="Q46" s="25"/>
      <c r="R46" s="28"/>
      <c r="S46" s="28"/>
      <c r="T46" s="27"/>
      <c r="U46" s="28"/>
      <c r="V46" s="28"/>
      <c r="W46" s="27"/>
      <c r="X46" s="28"/>
      <c r="Y46" s="28"/>
      <c r="Z46" s="27"/>
      <c r="AA46" s="27"/>
      <c r="AB46" s="27"/>
      <c r="AC46" s="27"/>
      <c r="AD46" s="30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customFormat="false" ht="15" hidden="false" customHeight="true" outlineLevel="0" collapsed="false">
      <c r="A47" s="19" t="str">
        <f aca="false">IF(OR($E47="",$E47="---"),"---",WEEKDAY($E47,2))</f>
        <v>---</v>
      </c>
      <c r="B47" s="21" t="str">
        <f aca="false">IF(OR($E47="",$E47="---"),"---", IF(AND($A47&gt;5,$G47&lt;&gt;"---"),4, IF($G47&lt;&gt;"---",3, IF($A47&gt;5,2, 1))))</f>
        <v>---</v>
      </c>
      <c r="C47" s="22" t="str">
        <f aca="false">IF($B47="---","---",  IF($B47=4,"SVÁTEK + VÍKEND",  IF($B47=3,"SVÁTEK",  IF($B47=2,"VÍKEND",  "PRACOVNÍ DEN"))))</f>
        <v>---</v>
      </c>
      <c r="D47" s="9" t="str">
        <f aca="false">IF(OR($E47="",$E47="---"),"---",WEEKNUM($E47,2))</f>
        <v>---</v>
      </c>
      <c r="E47" s="32" t="str">
        <f aca="false">IF($E43="","---",IF($E43="---","---",IF(MONTH($E43+1)=MONTH($E43),$E43+1,"---")))</f>
        <v>---</v>
      </c>
      <c r="F47" s="21" t="str">
        <f aca="false">IF($E47="","---",IF($E47="---","---",IF($E47&gt;0,CHOOSE(WEEKDAY($E47,2),"Po","Út","St","Čt","Pá","So","Ne"))))</f>
        <v>---</v>
      </c>
      <c r="G47" s="16" t="str">
        <f aca="false">IF($F47="---","---", IF(AND($A$1&lt;&gt;"---",$E47=$A$1-2),"Velký pátek", IF(AND($A$1&lt;&gt;"---",$E47=$A$1+1),"Velikonoční pondělí", IF(AND(DAY($E47)=1, MONTH($E47)=1),"Den obnovy samostatného českého státu / Nový rok", IF(AND(DAY($E47)=1, MONTH($E47)=5),"Svátek práce", IF(AND(DAY($E47)=8, MONTH($E47)=5),"Den vítězství", IF(AND(DAY($E47)=5, MONTH($E47)=7),"Den slovanských věrozvěstů Cyrila a Metoděje", IF(AND(DAY($E47)=6, MONTH($E47)=7),"Den upálení mistra Jana Husa", IF(AND(DAY($E47)=28, MONTH($E47)=9),"Den české státnosti (sv. Václav)", IF(AND(DAY($E47)=28, MONTH($E47)=10),"Den vzniku samostatného československého státu", IF(AND(DAY($E47)=17, MONTH($E47)=11),"Den boje za svobodu a demokracii", IF(AND(DAY($E47)=24, MONTH($E47)=12),"Štědrý den", IF(AND(DAY($E47)=25, MONTH($E47)=12),"1. svátek vánoční", IF(AND(DAY($E47)=26, MONTH($E47)=12),"2. svátek vánoční", "---"))))))))))))))</f>
        <v>---</v>
      </c>
      <c r="H47" s="26"/>
      <c r="I47" s="26"/>
      <c r="J47" s="25" t="n">
        <f aca="false">IF($H47="",0,IF($I47="",0,IF($I47&lt;$H47,"Čas konce je opravdu mensi?",$I47-$H47)))</f>
        <v>0</v>
      </c>
      <c r="K47" s="26"/>
      <c r="L47" s="34"/>
      <c r="M47" s="25" t="n">
        <f aca="false">IF($K47="",0,IF($L47="",0,IF($L47&lt;$K47,"Čas konce je opravdu menší?",$L47-$K47)))</f>
        <v>0</v>
      </c>
      <c r="N47" s="26"/>
      <c r="O47" s="26"/>
      <c r="P47" s="25" t="n">
        <f aca="false">IF($N47="",0,IF($O47="",0,IF($O47&lt;$N47,"Čas konce je opravdu menší?",$O47-$N47)))</f>
        <v>0</v>
      </c>
      <c r="Q47" s="27" t="n">
        <f aca="false">$J47+$M47+$P47</f>
        <v>0</v>
      </c>
      <c r="R47" s="28" t="n">
        <f aca="false">IF(OR($H47="",$I47=""),0, IF($I47&gt;22/24, MAX($H47,22/24), IF($H47&lt;6/24, $H47,0)))</f>
        <v>0</v>
      </c>
      <c r="S47" s="28" t="n">
        <f aca="false">IF(OR($H47="",$I47=""),0,IF($I47&gt;22/24,MIN($I47,1),IF($H47&lt;6/24,MIN($I47,6/24),0)))</f>
        <v>0</v>
      </c>
      <c r="T47" s="27" t="n">
        <f aca="false">IF(OR($H47="",$I47=""),0, 
   MAX(0, MIN($I47,1) - MAX($H47,22/24))
 + MAX(0, MIN($I47,6/24) - MAX($H47,0))
)</f>
        <v>0</v>
      </c>
      <c r="U47" s="28" t="n">
        <f aca="false">IF(OR($K47="",$L47=""),0, IF($L47&gt;22/24, MAX($K47,22/24), IF($K47&lt;6/24, $K47,0)))</f>
        <v>0</v>
      </c>
      <c r="V47" s="28" t="n">
        <f aca="false">IF(OR($K47="",$L47=""),0,IF($L47&gt;22/24,MIN($L47,1),IF($K47&lt;6/24,MIN($L47,6/24),0)))</f>
        <v>0</v>
      </c>
      <c r="W47" s="27" t="n">
        <f aca="false">IF(OR($K47="",$L47=""),0, 
   MAX(0, MIN($L47,1) - MAX($K47,22/24))
 + MAX(0, MIN($L47,6/24) - MAX($K47,0))
)</f>
        <v>0</v>
      </c>
      <c r="X47" s="28" t="n">
        <f aca="false">IF(OR($N47="",$O47=""),0, IF($O47&gt;22/24, MAX($N47,22/24), IF($N47&lt;6/24, $N47,0)))</f>
        <v>0</v>
      </c>
      <c r="Y47" s="28" t="n">
        <f aca="false">IF(OR($N47="",$O47=""),0,IF($O47&gt;22/24,MIN($O47,1),IF($N47&lt;6/24,MIN($O47,6/24),0)))</f>
        <v>0</v>
      </c>
      <c r="Z47" s="27" t="n">
        <f aca="false">IF(OR($N47="",$O47=""),0, 
   MAX(0, MIN($O47,1) - MAX($N47,22/24))
 + MAX(0, MIN($O47,6/24) - MAX($N47,0))
)</f>
        <v>0</v>
      </c>
      <c r="AA47" s="29" t="str">
        <f aca="false">TEXT(INT($AG47/60),"00")  &amp; ":"  &amp; TEXT(MOD($AG47,60),"00")  &amp; ":00"</f>
        <v>00:00:00</v>
      </c>
      <c r="AB47" s="27" t="n">
        <f aca="false">$T47+$W47+$Z47</f>
        <v>0</v>
      </c>
      <c r="AC47" s="27" t="n">
        <f aca="false">IF(OR($F47="So",$F47="Ne"),$Q47,0)</f>
        <v>0</v>
      </c>
      <c r="AD47" s="30" t="n">
        <f aca="false">IF($G47&lt;&gt;"---", $Q47,0)</f>
        <v>0</v>
      </c>
      <c r="AE47" s="31" t="n">
        <f aca="false">($J47*1440) +($M47*1440) +($P47*1440)</f>
        <v>0</v>
      </c>
      <c r="AF47" s="31" t="n">
        <f aca="false">$AE47/60</f>
        <v>0</v>
      </c>
      <c r="AG47" s="31" t="n">
        <f aca="false">IF(OR($B47="", $B47="---"),0,     IF($B47=1,         MAX(0,$AE47 -480),$AE47     ))</f>
        <v>0</v>
      </c>
      <c r="AH47" s="31" t="n">
        <f aca="false">$AG47/60</f>
        <v>0</v>
      </c>
      <c r="AI47" s="31" t="n">
        <f aca="false">($T47+$W47+$Z47)*1440</f>
        <v>0</v>
      </c>
      <c r="AJ47" s="31" t="n">
        <f aca="false">$AI47/60</f>
        <v>0</v>
      </c>
      <c r="AK47" s="31" t="n">
        <f aca="false">(AC47)*1440</f>
        <v>0</v>
      </c>
      <c r="AL47" s="31" t="n">
        <f aca="false">$AK47/60</f>
        <v>0</v>
      </c>
      <c r="AM47" s="31" t="n">
        <f aca="false">($AD47)*1440</f>
        <v>0</v>
      </c>
      <c r="AN47" s="31" t="n">
        <f aca="false">$AM47/60</f>
        <v>0</v>
      </c>
    </row>
    <row r="48" customFormat="false" ht="15" hidden="false" customHeight="true" outlineLevel="0" collapsed="false">
      <c r="A48" s="19"/>
      <c r="B48" s="19"/>
      <c r="C48" s="19"/>
      <c r="D48" s="19"/>
      <c r="E48" s="19"/>
      <c r="F48" s="19"/>
      <c r="G48" s="19"/>
      <c r="H48" s="26"/>
      <c r="I48" s="26"/>
      <c r="J48" s="25"/>
      <c r="K48" s="26"/>
      <c r="L48" s="26"/>
      <c r="M48" s="25"/>
      <c r="N48" s="26"/>
      <c r="O48" s="26"/>
      <c r="P48" s="25"/>
      <c r="Q48" s="25"/>
      <c r="R48" s="28"/>
      <c r="S48" s="28"/>
      <c r="T48" s="27"/>
      <c r="U48" s="28"/>
      <c r="V48" s="28"/>
      <c r="W48" s="27"/>
      <c r="X48" s="28"/>
      <c r="Y48" s="28"/>
      <c r="Z48" s="27"/>
      <c r="AA48" s="27"/>
      <c r="AB48" s="27"/>
      <c r="AC48" s="27"/>
      <c r="AD48" s="30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26"/>
      <c r="I49" s="26"/>
      <c r="J49" s="25"/>
      <c r="K49" s="26"/>
      <c r="L49" s="26"/>
      <c r="M49" s="25"/>
      <c r="N49" s="26"/>
      <c r="O49" s="26"/>
      <c r="P49" s="25"/>
      <c r="Q49" s="25"/>
      <c r="R49" s="28"/>
      <c r="S49" s="28"/>
      <c r="T49" s="27"/>
      <c r="U49" s="28"/>
      <c r="V49" s="28"/>
      <c r="W49" s="27"/>
      <c r="X49" s="28"/>
      <c r="Y49" s="28"/>
      <c r="Z49" s="27"/>
      <c r="AA49" s="27"/>
      <c r="AB49" s="27"/>
      <c r="AC49" s="27"/>
      <c r="AD49" s="30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customFormat="false" ht="15" hidden="false" customHeight="true" outlineLevel="0" collapsed="false">
      <c r="A50" s="19"/>
      <c r="B50" s="19"/>
      <c r="C50" s="19"/>
      <c r="D50" s="19"/>
      <c r="E50" s="19"/>
      <c r="F50" s="19"/>
      <c r="G50" s="19"/>
      <c r="H50" s="26"/>
      <c r="I50" s="26"/>
      <c r="J50" s="25"/>
      <c r="K50" s="26"/>
      <c r="L50" s="26"/>
      <c r="M50" s="25"/>
      <c r="N50" s="26"/>
      <c r="O50" s="26"/>
      <c r="P50" s="25"/>
      <c r="Q50" s="25"/>
      <c r="R50" s="28"/>
      <c r="S50" s="28"/>
      <c r="T50" s="27"/>
      <c r="U50" s="28"/>
      <c r="V50" s="28"/>
      <c r="W50" s="27"/>
      <c r="X50" s="28"/>
      <c r="Y50" s="28"/>
      <c r="Z50" s="27"/>
      <c r="AA50" s="27"/>
      <c r="AB50" s="27"/>
      <c r="AC50" s="27"/>
      <c r="AD50" s="30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customFormat="false" ht="15" hidden="false" customHeight="true" outlineLevel="0" collapsed="false">
      <c r="A51" s="19" t="str">
        <f aca="false">IF(OR($E51="",$E51="---"),"---",WEEKDAY($E51,2))</f>
        <v>---</v>
      </c>
      <c r="B51" s="21" t="str">
        <f aca="false">IF(OR($E51="",$E51="---"),"---", IF(AND($A51&gt;5,$G51&lt;&gt;"---"),4, IF($G51&lt;&gt;"---",3, IF($A51&gt;5,2, 1))))</f>
        <v>---</v>
      </c>
      <c r="C51" s="22" t="str">
        <f aca="false">IF($B51="---","---",  IF($B51=4,"SVÁTEK + VÍKEND",  IF($B51=3,"SVÁTEK",  IF($B51=2,"VÍKEND",  "PRACOVNÍ DEN"))))</f>
        <v>---</v>
      </c>
      <c r="D51" s="9" t="str">
        <f aca="false">IF(OR($E51="",$E51="---"),"---",WEEKNUM($E51,2))</f>
        <v>---</v>
      </c>
      <c r="E51" s="32" t="str">
        <f aca="false">IF($E47="","---",IF($E47="---","---",IF(MONTH($E47+1)=MONTH($E47),$E47+1,"---")))</f>
        <v>---</v>
      </c>
      <c r="F51" s="21" t="str">
        <f aca="false">IF($E51="","---",IF($E51="---","---",IF($E51&gt;0,CHOOSE(WEEKDAY($E51,2),"Po","Út","St","Čt","Pá","So","Ne"))))</f>
        <v>---</v>
      </c>
      <c r="G51" s="16" t="str">
        <f aca="false">IF($F51="---","---", IF(AND($A$1&lt;&gt;"---",$E51=$A$1-2),"Velký pátek", IF(AND($A$1&lt;&gt;"---",$E51=$A$1+1),"Velikonoční pondělí", IF(AND(DAY($E51)=1, MONTH($E51)=1),"Den obnovy samostatného českého státu / Nový rok", IF(AND(DAY($E51)=1, MONTH($E51)=5),"Svátek práce", IF(AND(DAY($E51)=8, MONTH($E51)=5),"Den vítězství", IF(AND(DAY($E51)=5, MONTH($E51)=7),"Den slovanských věrozvěstů Cyrila a Metoděje", IF(AND(DAY($E51)=6, MONTH($E51)=7),"Den upálení mistra Jana Husa", IF(AND(DAY($E51)=28, MONTH($E51)=9),"Den české státnosti (sv. Václav)", IF(AND(DAY($E51)=28, MONTH($E51)=10),"Den vzniku samostatného československého státu", IF(AND(DAY($E51)=17, MONTH($E51)=11),"Den boje za svobodu a demokracii", IF(AND(DAY($E51)=24, MONTH($E51)=12),"Štědrý den", IF(AND(DAY($E51)=25, MONTH($E51)=12),"1. svátek vánoční", IF(AND(DAY($E51)=26, MONTH($E51)=12),"2. svátek vánoční", "---"))))))))))))))</f>
        <v>---</v>
      </c>
      <c r="H51" s="26"/>
      <c r="I51" s="26"/>
      <c r="J51" s="25" t="n">
        <f aca="false">IF($H51="",0,IF($I51="",0,IF($I51&lt;$H51,"Čas konce je opravdu mensi?",$I51-$H51)))</f>
        <v>0</v>
      </c>
      <c r="K51" s="26"/>
      <c r="L51" s="34"/>
      <c r="M51" s="25" t="n">
        <f aca="false">IF($K51="",0,IF($L51="",0,IF($L51&lt;$K51,"Čas konce je opravdu menší?",$L51-$K51)))</f>
        <v>0</v>
      </c>
      <c r="N51" s="26"/>
      <c r="O51" s="26"/>
      <c r="P51" s="25" t="n">
        <f aca="false">IF($N51="",0,IF($O51="",0,IF($O51&lt;$N51,"Čas konce je opravdu menší?",$O51-$N51)))</f>
        <v>0</v>
      </c>
      <c r="Q51" s="27" t="n">
        <f aca="false">$J51+$M51+$P51</f>
        <v>0</v>
      </c>
      <c r="R51" s="28" t="n">
        <f aca="false">IF(OR($H51="",$I51=""),0, IF($I51&gt;22/24, MAX($H51,22/24), IF($H51&lt;6/24, $H51,0)))</f>
        <v>0</v>
      </c>
      <c r="S51" s="28" t="n">
        <f aca="false">IF(OR($H51="",$I51=""),0,IF($I51&gt;22/24,MIN($I51,1),IF($H51&lt;6/24,MIN($I51,6/24),0)))</f>
        <v>0</v>
      </c>
      <c r="T51" s="27" t="n">
        <f aca="false">IF(OR($H51="",$I51=""),0, 
   MAX(0, MIN($I51,1) - MAX($H51,22/24))
 + MAX(0, MIN($I51,6/24) - MAX($H51,0))
)</f>
        <v>0</v>
      </c>
      <c r="U51" s="28" t="n">
        <f aca="false">IF(OR($K51="",$L51=""),0, IF($L51&gt;22/24, MAX($K51,22/24), IF($K51&lt;6/24, $K51,0)))</f>
        <v>0</v>
      </c>
      <c r="V51" s="28" t="n">
        <f aca="false">IF(OR($K51="",$L51=""),0,IF($L51&gt;22/24,MIN($L51,1),IF($K51&lt;6/24,MIN($L51,6/24),0)))</f>
        <v>0</v>
      </c>
      <c r="W51" s="27" t="n">
        <f aca="false">IF(OR($K51="",$L51=""),0, 
   MAX(0, MIN($L51,1) - MAX($K51,22/24))
 + MAX(0, MIN($L51,6/24) - MAX($K51,0))
)</f>
        <v>0</v>
      </c>
      <c r="X51" s="28" t="n">
        <f aca="false">IF(OR($N51="",$O51=""),0, IF($O51&gt;22/24, MAX($N51,22/24), IF($N51&lt;6/24, $N51,0)))</f>
        <v>0</v>
      </c>
      <c r="Y51" s="28" t="n">
        <f aca="false">IF(OR($N51="",$O51=""),0,IF($O51&gt;22/24,MIN($O51,1),IF($N51&lt;6/24,MIN($O51,6/24),0)))</f>
        <v>0</v>
      </c>
      <c r="Z51" s="27" t="n">
        <f aca="false">IF(OR($N51="",$O51=""),0, 
   MAX(0, MIN($O51,1) - MAX($N51,22/24))
 + MAX(0, MIN($O51,6/24) - MAX($N51,0))
)</f>
        <v>0</v>
      </c>
      <c r="AA51" s="29" t="str">
        <f aca="false">TEXT(INT($AG51/60),"00")  &amp; ":"  &amp; TEXT(MOD($AG51,60),"00")  &amp; ":00"</f>
        <v>00:00:00</v>
      </c>
      <c r="AB51" s="27" t="n">
        <f aca="false">$T51+$W51+$Z51</f>
        <v>0</v>
      </c>
      <c r="AC51" s="27" t="n">
        <f aca="false">IF(OR($F51="So",$F51="Ne"),$Q51,0)</f>
        <v>0</v>
      </c>
      <c r="AD51" s="30" t="n">
        <f aca="false">IF($G51&lt;&gt;"---", $Q51,0)</f>
        <v>0</v>
      </c>
      <c r="AE51" s="31" t="n">
        <f aca="false">($J51*1440) +($M51*1440) +($P51*1440)</f>
        <v>0</v>
      </c>
      <c r="AF51" s="31" t="n">
        <f aca="false">$AE51/60</f>
        <v>0</v>
      </c>
      <c r="AG51" s="31" t="n">
        <f aca="false">IF(OR($B51="", $B51="---"),0,     IF($B51=1,         MAX(0,$AE51 -480),$AE51     ))</f>
        <v>0</v>
      </c>
      <c r="AH51" s="31" t="n">
        <f aca="false">$AG51/60</f>
        <v>0</v>
      </c>
      <c r="AI51" s="31" t="n">
        <f aca="false">($T51+$W51+$Z51)*1440</f>
        <v>0</v>
      </c>
      <c r="AJ51" s="31" t="n">
        <f aca="false">$AI51/60</f>
        <v>0</v>
      </c>
      <c r="AK51" s="31" t="n">
        <f aca="false">(AC51)*1440</f>
        <v>0</v>
      </c>
      <c r="AL51" s="31" t="n">
        <f aca="false">$AK51/60</f>
        <v>0</v>
      </c>
      <c r="AM51" s="31" t="n">
        <f aca="false">($AD51)*1440</f>
        <v>0</v>
      </c>
      <c r="AN51" s="31" t="n">
        <f aca="false">$AM51/60</f>
        <v>0</v>
      </c>
    </row>
    <row r="52" customFormat="false" ht="15" hidden="false" customHeight="true" outlineLevel="0" collapsed="false">
      <c r="A52" s="19"/>
      <c r="B52" s="19"/>
      <c r="C52" s="19"/>
      <c r="D52" s="19"/>
      <c r="E52" s="19"/>
      <c r="F52" s="19"/>
      <c r="G52" s="19"/>
      <c r="H52" s="26"/>
      <c r="I52" s="26"/>
      <c r="J52" s="25"/>
      <c r="K52" s="26"/>
      <c r="L52" s="26"/>
      <c r="M52" s="25"/>
      <c r="N52" s="26"/>
      <c r="O52" s="26"/>
      <c r="P52" s="25"/>
      <c r="Q52" s="25"/>
      <c r="R52" s="28"/>
      <c r="S52" s="28"/>
      <c r="T52" s="27"/>
      <c r="U52" s="28"/>
      <c r="V52" s="28"/>
      <c r="W52" s="27"/>
      <c r="X52" s="28"/>
      <c r="Y52" s="28"/>
      <c r="Z52" s="27"/>
      <c r="AA52" s="27"/>
      <c r="AB52" s="27"/>
      <c r="AC52" s="27"/>
      <c r="AD52" s="30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customFormat="false" ht="15" hidden="false" customHeight="true" outlineLevel="0" collapsed="false">
      <c r="A53" s="19"/>
      <c r="B53" s="19"/>
      <c r="C53" s="19"/>
      <c r="D53" s="19"/>
      <c r="E53" s="19"/>
      <c r="F53" s="19"/>
      <c r="G53" s="19"/>
      <c r="H53" s="26"/>
      <c r="I53" s="26"/>
      <c r="J53" s="25"/>
      <c r="K53" s="26"/>
      <c r="L53" s="26"/>
      <c r="M53" s="25"/>
      <c r="N53" s="26"/>
      <c r="O53" s="26"/>
      <c r="P53" s="25"/>
      <c r="Q53" s="25"/>
      <c r="R53" s="28"/>
      <c r="S53" s="28"/>
      <c r="T53" s="27"/>
      <c r="U53" s="28"/>
      <c r="V53" s="28"/>
      <c r="W53" s="27"/>
      <c r="X53" s="28"/>
      <c r="Y53" s="28"/>
      <c r="Z53" s="27"/>
      <c r="AA53" s="27"/>
      <c r="AB53" s="27"/>
      <c r="AC53" s="27"/>
      <c r="AD53" s="30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26"/>
      <c r="I54" s="26"/>
      <c r="J54" s="25"/>
      <c r="K54" s="26"/>
      <c r="L54" s="26"/>
      <c r="M54" s="25"/>
      <c r="N54" s="26"/>
      <c r="O54" s="26"/>
      <c r="P54" s="25"/>
      <c r="Q54" s="25"/>
      <c r="R54" s="28"/>
      <c r="S54" s="28"/>
      <c r="T54" s="27"/>
      <c r="U54" s="28"/>
      <c r="V54" s="28"/>
      <c r="W54" s="27"/>
      <c r="X54" s="28"/>
      <c r="Y54" s="28"/>
      <c r="Z54" s="27"/>
      <c r="AA54" s="27"/>
      <c r="AB54" s="27"/>
      <c r="AC54" s="27"/>
      <c r="AD54" s="30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customFormat="false" ht="15" hidden="false" customHeight="true" outlineLevel="0" collapsed="false">
      <c r="A55" s="19" t="str">
        <f aca="false">IF(OR($E55="",$E55="---"),"---",WEEKDAY($E55,2))</f>
        <v>---</v>
      </c>
      <c r="B55" s="21" t="str">
        <f aca="false">IF(OR($E55="",$E55="---"),"---", IF(AND($A55&gt;5,$G55&lt;&gt;"---"),4, IF($G55&lt;&gt;"---",3, IF($A55&gt;5,2, 1))))</f>
        <v>---</v>
      </c>
      <c r="C55" s="22" t="str">
        <f aca="false">IF($B55="---","---",  IF($B55=4,"SVÁTEK + VÍKEND",  IF($B55=3,"SVÁTEK",  IF($B55=2,"VÍKEND",  "PRACOVNÍ DEN"))))</f>
        <v>---</v>
      </c>
      <c r="D55" s="9" t="str">
        <f aca="false">IF(OR($E55="",$E55="---"),"---",WEEKNUM($E55,2))</f>
        <v>---</v>
      </c>
      <c r="E55" s="32" t="str">
        <f aca="false">IF($E51="","---",IF($E51="---","---",IF(MONTH($E51+1)=MONTH($E51),$E51+1,"---")))</f>
        <v>---</v>
      </c>
      <c r="F55" s="21" t="str">
        <f aca="false">IF($E55="","---",IF($E55="---","---",IF($E55&gt;0,CHOOSE(WEEKDAY($E55,2),"Po","Út","St","Čt","Pá","So","Ne"))))</f>
        <v>---</v>
      </c>
      <c r="G55" s="16" t="str">
        <f aca="false">IF($F55="---","---", IF(AND($A$1&lt;&gt;"---",$E55=$A$1-2),"Velký pátek", IF(AND($A$1&lt;&gt;"---",$E55=$A$1+1),"Velikonoční pondělí", IF(AND(DAY($E55)=1, MONTH($E55)=1),"Den obnovy samostatného českého státu / Nový rok", IF(AND(DAY($E55)=1, MONTH($E55)=5),"Svátek práce", IF(AND(DAY($E55)=8, MONTH($E55)=5),"Den vítězství", IF(AND(DAY($E55)=5, MONTH($E55)=7),"Den slovanských věrozvěstů Cyrila a Metoděje", IF(AND(DAY($E55)=6, MONTH($E55)=7),"Den upálení mistra Jana Husa", IF(AND(DAY($E55)=28, MONTH($E55)=9),"Den české státnosti (sv. Václav)", IF(AND(DAY($E55)=28, MONTH($E55)=10),"Den vzniku samostatného československého státu", IF(AND(DAY($E55)=17, MONTH($E55)=11),"Den boje za svobodu a demokracii", IF(AND(DAY($E55)=24, MONTH($E55)=12),"Štědrý den", IF(AND(DAY($E55)=25, MONTH($E55)=12),"1. svátek vánoční", IF(AND(DAY($E55)=26, MONTH($E55)=12),"2. svátek vánoční", "---"))))))))))))))</f>
        <v>---</v>
      </c>
      <c r="H55" s="26"/>
      <c r="I55" s="26"/>
      <c r="J55" s="25" t="n">
        <f aca="false">IF($H55="",0,IF($I55="",0,IF($I55&lt;$H55,"Čas konce je opravdu mensi?",$I55-$H55)))</f>
        <v>0</v>
      </c>
      <c r="K55" s="26"/>
      <c r="L55" s="26"/>
      <c r="M55" s="25" t="n">
        <f aca="false">IF($K55="",0,IF($L55="",0,IF($L55&lt;$K55,"Čas konce je opravdu menší?",$L55-$K55)))</f>
        <v>0</v>
      </c>
      <c r="N55" s="26"/>
      <c r="O55" s="26"/>
      <c r="P55" s="25" t="n">
        <f aca="false">IF($N55="",0,IF($O55="",0,IF($O55&lt;$N55,"Čas konce je opravdu menší?",$O55-$N55)))</f>
        <v>0</v>
      </c>
      <c r="Q55" s="27" t="n">
        <f aca="false">$J55+$M55+$P55</f>
        <v>0</v>
      </c>
      <c r="R55" s="28" t="n">
        <f aca="false">IF(OR($H55="",$I55=""),0, IF($I55&gt;22/24, MAX($H55,22/24), IF($H55&lt;6/24, $H55,0)))</f>
        <v>0</v>
      </c>
      <c r="S55" s="28" t="n">
        <f aca="false">IF(OR($H55="",$I55=""),0,IF($I55&gt;22/24,MIN($I55,1),IF($H55&lt;6/24,MIN($I55,6/24),0)))</f>
        <v>0</v>
      </c>
      <c r="T55" s="27" t="n">
        <f aca="false">IF(OR($H55="",$I55=""),0, 
   MAX(0, MIN($I55,1) - MAX($H55,22/24))
 + MAX(0, MIN($I55,6/24) - MAX($H55,0))
)</f>
        <v>0</v>
      </c>
      <c r="U55" s="28" t="n">
        <f aca="false">IF(OR($K55="",$L55=""),0, IF($L55&gt;22/24, MAX($K55,22/24), IF($K55&lt;6/24, $K55,0)))</f>
        <v>0</v>
      </c>
      <c r="V55" s="28" t="n">
        <f aca="false">IF(OR($K55="",$L55=""),0,IF($L55&gt;22/24,MIN($L55,1),IF($K55&lt;6/24,MIN($L55,6/24),0)))</f>
        <v>0</v>
      </c>
      <c r="W55" s="27" t="n">
        <f aca="false">IF(OR($K55="",$L55=""),0, 
   MAX(0, MIN($L55,1) - MAX($K55,22/24))
 + MAX(0, MIN($L55,6/24) - MAX($K55,0))
)</f>
        <v>0</v>
      </c>
      <c r="X55" s="28" t="n">
        <f aca="false">IF(OR($N55="",$O55=""),0, IF($O55&gt;22/24, MAX($N55,22/24), IF($N55&lt;6/24, $N55,0)))</f>
        <v>0</v>
      </c>
      <c r="Y55" s="28" t="n">
        <f aca="false">IF(OR($N55="",$O55=""),0,IF($O55&gt;22/24,MIN($O55,1),IF($N55&lt;6/24,MIN($O55,6/24),0)))</f>
        <v>0</v>
      </c>
      <c r="Z55" s="27" t="n">
        <f aca="false">IF(OR($N55="",$O55=""),0, 
   MAX(0, MIN($O55,1) - MAX($N55,22/24))
 + MAX(0, MIN($O55,6/24) - MAX($N55,0))
)</f>
        <v>0</v>
      </c>
      <c r="AA55" s="29" t="str">
        <f aca="false">TEXT(INT($AG55/60),"00")  &amp; ":"  &amp; TEXT(MOD($AG55,60),"00")  &amp; ":00"</f>
        <v>00:00:00</v>
      </c>
      <c r="AB55" s="27" t="n">
        <f aca="false">$T55+$W55+$Z55</f>
        <v>0</v>
      </c>
      <c r="AC55" s="27" t="n">
        <f aca="false">IF(OR($F55="So",$F55="Ne"),$Q55,0)</f>
        <v>0</v>
      </c>
      <c r="AD55" s="30" t="n">
        <f aca="false">IF($G55&lt;&gt;"---", $Q55,0)</f>
        <v>0</v>
      </c>
      <c r="AE55" s="31" t="n">
        <f aca="false">($J55*1440) +($M55*1440) +($P55*1440)</f>
        <v>0</v>
      </c>
      <c r="AF55" s="31" t="n">
        <f aca="false">$AE55/60</f>
        <v>0</v>
      </c>
      <c r="AG55" s="31" t="n">
        <f aca="false">IF(OR($B55="", $B55="---"),0,     IF($B55=1,         MAX(0,$AE55 -480),$AE55     ))</f>
        <v>0</v>
      </c>
      <c r="AH55" s="31" t="n">
        <f aca="false">$AG55/60</f>
        <v>0</v>
      </c>
      <c r="AI55" s="31" t="n">
        <f aca="false">($T55+$W55+$Z55)*1440</f>
        <v>0</v>
      </c>
      <c r="AJ55" s="31" t="n">
        <f aca="false">$AI55/60</f>
        <v>0</v>
      </c>
      <c r="AK55" s="31" t="n">
        <f aca="false">(AC55)*1440</f>
        <v>0</v>
      </c>
      <c r="AL55" s="31" t="n">
        <f aca="false">$AK55/60</f>
        <v>0</v>
      </c>
      <c r="AM55" s="31" t="n">
        <f aca="false">($AD55)*1440</f>
        <v>0</v>
      </c>
      <c r="AN55" s="31" t="n">
        <f aca="false">$AM55/60</f>
        <v>0</v>
      </c>
    </row>
    <row r="56" customFormat="false" ht="15" hidden="false" customHeight="true" outlineLevel="0" collapsed="false">
      <c r="A56" s="19"/>
      <c r="B56" s="19"/>
      <c r="C56" s="19"/>
      <c r="D56" s="19"/>
      <c r="E56" s="19"/>
      <c r="F56" s="19"/>
      <c r="G56" s="19"/>
      <c r="H56" s="26"/>
      <c r="I56" s="26"/>
      <c r="J56" s="25"/>
      <c r="K56" s="26"/>
      <c r="L56" s="26"/>
      <c r="M56" s="25"/>
      <c r="N56" s="26"/>
      <c r="O56" s="26"/>
      <c r="P56" s="25"/>
      <c r="Q56" s="25"/>
      <c r="R56" s="28"/>
      <c r="S56" s="28"/>
      <c r="T56" s="27"/>
      <c r="U56" s="28"/>
      <c r="V56" s="28"/>
      <c r="W56" s="27"/>
      <c r="X56" s="28"/>
      <c r="Y56" s="28"/>
      <c r="Z56" s="27"/>
      <c r="AA56" s="27"/>
      <c r="AB56" s="27"/>
      <c r="AC56" s="27"/>
      <c r="AD56" s="30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customFormat="false" ht="15" hidden="false" customHeight="true" outlineLevel="0" collapsed="false">
      <c r="A57" s="19"/>
      <c r="B57" s="19"/>
      <c r="C57" s="19"/>
      <c r="D57" s="19"/>
      <c r="E57" s="19"/>
      <c r="F57" s="19"/>
      <c r="G57" s="19"/>
      <c r="H57" s="26"/>
      <c r="I57" s="26"/>
      <c r="J57" s="25"/>
      <c r="K57" s="26"/>
      <c r="L57" s="26"/>
      <c r="M57" s="25"/>
      <c r="N57" s="26"/>
      <c r="O57" s="26"/>
      <c r="P57" s="25"/>
      <c r="Q57" s="25"/>
      <c r="R57" s="28"/>
      <c r="S57" s="28"/>
      <c r="T57" s="27"/>
      <c r="U57" s="28"/>
      <c r="V57" s="28"/>
      <c r="W57" s="27"/>
      <c r="X57" s="28"/>
      <c r="Y57" s="28"/>
      <c r="Z57" s="27"/>
      <c r="AA57" s="27"/>
      <c r="AB57" s="27"/>
      <c r="AC57" s="27"/>
      <c r="AD57" s="30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customFormat="false" ht="15" hidden="false" customHeight="true" outlineLevel="0" collapsed="false">
      <c r="A58" s="19"/>
      <c r="B58" s="19"/>
      <c r="C58" s="19"/>
      <c r="D58" s="19"/>
      <c r="E58" s="19"/>
      <c r="F58" s="19"/>
      <c r="G58" s="19"/>
      <c r="H58" s="26"/>
      <c r="I58" s="26"/>
      <c r="J58" s="25"/>
      <c r="K58" s="26"/>
      <c r="L58" s="26"/>
      <c r="M58" s="25"/>
      <c r="N58" s="26"/>
      <c r="O58" s="26"/>
      <c r="P58" s="25"/>
      <c r="Q58" s="25"/>
      <c r="R58" s="28"/>
      <c r="S58" s="28"/>
      <c r="T58" s="27"/>
      <c r="U58" s="28"/>
      <c r="V58" s="28"/>
      <c r="W58" s="27"/>
      <c r="X58" s="28"/>
      <c r="Y58" s="28"/>
      <c r="Z58" s="27"/>
      <c r="AA58" s="27"/>
      <c r="AB58" s="27"/>
      <c r="AC58" s="27"/>
      <c r="AD58" s="30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customFormat="false" ht="15" hidden="false" customHeight="true" outlineLevel="0" collapsed="false">
      <c r="A59" s="19" t="str">
        <f aca="false">IF(OR($E59="",$E59="---"),"---",WEEKDAY($E59,2))</f>
        <v>---</v>
      </c>
      <c r="B59" s="21" t="str">
        <f aca="false">IF(OR($E59="",$E59="---"),"---", IF(AND($A59&gt;5,$G59&lt;&gt;"---"),4, IF($G59&lt;&gt;"---",3, IF($A59&gt;5,2, 1))))</f>
        <v>---</v>
      </c>
      <c r="C59" s="22" t="str">
        <f aca="false">IF($B59="---","---",  IF($B59=4,"SVÁTEK + VÍKEND",  IF($B59=3,"SVÁTEK",  IF($B59=2,"VÍKEND",  "PRACOVNÍ DEN"))))</f>
        <v>---</v>
      </c>
      <c r="D59" s="9" t="str">
        <f aca="false">IF(OR($E59="",$E59="---"),"---",WEEKNUM($E59,2))</f>
        <v>---</v>
      </c>
      <c r="E59" s="32" t="str">
        <f aca="false">IF($E55="","---",IF($E55="---","---",IF(MONTH($E55+1)=MONTH($E55),$E55+1,"---")))</f>
        <v>---</v>
      </c>
      <c r="F59" s="21" t="str">
        <f aca="false">IF($E59="","---",IF($E59="---","---",IF($E59&gt;0,CHOOSE(WEEKDAY($E59,2),"Po","Út","St","Čt","Pá","So","Ne"))))</f>
        <v>---</v>
      </c>
      <c r="G59" s="16" t="str">
        <f aca="false">IF($F59="---","---", IF(AND($A$1&lt;&gt;"---",$E59=$A$1-2),"Velký pátek", IF(AND($A$1&lt;&gt;"---",$E59=$A$1+1),"Velikonoční pondělí", IF(AND(DAY($E59)=1, MONTH($E59)=1),"Den obnovy samostatného českého státu / Nový rok", IF(AND(DAY($E59)=1, MONTH($E59)=5),"Svátek práce", IF(AND(DAY($E59)=8, MONTH($E59)=5),"Den vítězství", IF(AND(DAY($E59)=5, MONTH($E59)=7),"Den slovanských věrozvěstů Cyrila a Metoděje", IF(AND(DAY($E59)=6, MONTH($E59)=7),"Den upálení mistra Jana Husa", IF(AND(DAY($E59)=28, MONTH($E59)=9),"Den české státnosti (sv. Václav)", IF(AND(DAY($E59)=28, MONTH($E59)=10),"Den vzniku samostatného československého státu", IF(AND(DAY($E59)=17, MONTH($E59)=11),"Den boje za svobodu a demokracii", IF(AND(DAY($E59)=24, MONTH($E59)=12),"Štědrý den", IF(AND(DAY($E59)=25, MONTH($E59)=12),"1. svátek vánoční", IF(AND(DAY($E59)=26, MONTH($E59)=12),"2. svátek vánoční", "---"))))))))))))))</f>
        <v>---</v>
      </c>
      <c r="H59" s="26"/>
      <c r="I59" s="34"/>
      <c r="J59" s="25" t="n">
        <f aca="false">IF($H59="",0,IF($I59="",0,IF($I59&lt;$H59,"Čas konce je opravdu mensi?",$I59-$H59)))</f>
        <v>0</v>
      </c>
      <c r="K59" s="33"/>
      <c r="L59" s="33"/>
      <c r="M59" s="25" t="n">
        <f aca="false">IF($K59="",0,IF($L59="",0,IF($L59&lt;$K59,"Čas konce je opravdu menší?",$L59-$K59)))</f>
        <v>0</v>
      </c>
      <c r="N59" s="26"/>
      <c r="O59" s="26"/>
      <c r="P59" s="25" t="n">
        <f aca="false">IF($N59="",0,IF($O59="",0,IF($O59&lt;$N59,"Čas konce je opravdu menší?",$O59-$N59)))</f>
        <v>0</v>
      </c>
      <c r="Q59" s="27" t="n">
        <f aca="false">$J59+$M59+$P59</f>
        <v>0</v>
      </c>
      <c r="R59" s="28" t="n">
        <f aca="false">IF(OR($H59="",$I59=""),0, IF($I59&gt;22/24, MAX($H59,22/24), IF($H59&lt;6/24, $H59,0)))</f>
        <v>0</v>
      </c>
      <c r="S59" s="28" t="n">
        <f aca="false">IF(OR($H59="",$I59=""),0,IF($I59&gt;22/24,MIN($I59,1),IF($H59&lt;6/24,MIN($I59,6/24),0)))</f>
        <v>0</v>
      </c>
      <c r="T59" s="27" t="n">
        <f aca="false">IF(OR($H59="",$I59=""),0, 
   MAX(0, MIN($I59,1) - MAX($H59,22/24))
 + MAX(0, MIN($I59,6/24) - MAX($H59,0))
)</f>
        <v>0</v>
      </c>
      <c r="U59" s="28" t="n">
        <f aca="false">IF(OR($K59="",$L59=""),0, IF($L59&gt;22/24, MAX($K59,22/24), IF($K59&lt;6/24, $K59,0)))</f>
        <v>0</v>
      </c>
      <c r="V59" s="28" t="n">
        <f aca="false">IF(OR($K59="",$L59=""),0,IF($L59&gt;22/24,MIN($L59,1),IF($K59&lt;6/24,MIN($L59,6/24),0)))</f>
        <v>0</v>
      </c>
      <c r="W59" s="27" t="n">
        <f aca="false">IF(OR($K59="",$L59=""),0, 
   MAX(0, MIN($L59,1) - MAX($K59,22/24))
 + MAX(0, MIN($L59,6/24) - MAX($K59,0))
)</f>
        <v>0</v>
      </c>
      <c r="X59" s="28" t="n">
        <f aca="false">IF(OR($N59="",$O59=""),0, IF($O59&gt;22/24, MAX($N59,22/24), IF($N59&lt;6/24, $N59,0)))</f>
        <v>0</v>
      </c>
      <c r="Y59" s="28" t="n">
        <f aca="false">IF(OR($N59="",$O59=""),0,IF($O59&gt;22/24,MIN($O59,1),IF($N59&lt;6/24,MIN($O59,6/24),0)))</f>
        <v>0</v>
      </c>
      <c r="Z59" s="27" t="n">
        <f aca="false">IF(OR($N59="",$O59=""),0, 
   MAX(0, MIN($O59,1) - MAX($N59,22/24))
 + MAX(0, MIN($O59,6/24) - MAX($N59,0))
)</f>
        <v>0</v>
      </c>
      <c r="AA59" s="29" t="str">
        <f aca="false">TEXT(INT($AG59/60),"00")  &amp; ":"  &amp; TEXT(MOD($AG59,60),"00")  &amp; ":00"</f>
        <v>00:00:00</v>
      </c>
      <c r="AB59" s="27" t="n">
        <f aca="false">$T59+$W59+$Z59</f>
        <v>0</v>
      </c>
      <c r="AC59" s="27" t="n">
        <f aca="false">IF(OR($F59="So",$F59="Ne"),$Q59,0)</f>
        <v>0</v>
      </c>
      <c r="AD59" s="30" t="n">
        <f aca="false">IF($G59&lt;&gt;"---", $Q59,0)</f>
        <v>0</v>
      </c>
      <c r="AE59" s="31" t="n">
        <f aca="false">($J59*1440) +($M59*1440) +($P59*1440)</f>
        <v>0</v>
      </c>
      <c r="AF59" s="31" t="n">
        <f aca="false">$AE59/60</f>
        <v>0</v>
      </c>
      <c r="AG59" s="31" t="n">
        <f aca="false">IF(OR($B59="", $B59="---"),0,     IF($B59=1,         MAX(0,$AE59 -480),$AE59     ))</f>
        <v>0</v>
      </c>
      <c r="AH59" s="31" t="n">
        <f aca="false">$AG59/60</f>
        <v>0</v>
      </c>
      <c r="AI59" s="31" t="n">
        <f aca="false">($T59+$W59+$Z59)*1440</f>
        <v>0</v>
      </c>
      <c r="AJ59" s="31" t="n">
        <f aca="false">$AI59/60</f>
        <v>0</v>
      </c>
      <c r="AK59" s="31" t="n">
        <f aca="false">(AC59)*1440</f>
        <v>0</v>
      </c>
      <c r="AL59" s="31" t="n">
        <f aca="false">$AK59/60</f>
        <v>0</v>
      </c>
      <c r="AM59" s="31" t="n">
        <f aca="false">($AD59)*1440</f>
        <v>0</v>
      </c>
      <c r="AN59" s="31" t="n">
        <f aca="false">$AM59/60</f>
        <v>0</v>
      </c>
    </row>
    <row r="60" customFormat="false" ht="15" hidden="false" customHeight="true" outlineLevel="0" collapsed="false">
      <c r="A60" s="19"/>
      <c r="B60" s="19"/>
      <c r="C60" s="19"/>
      <c r="D60" s="19"/>
      <c r="E60" s="19"/>
      <c r="F60" s="19"/>
      <c r="G60" s="19"/>
      <c r="H60" s="26"/>
      <c r="I60" s="26"/>
      <c r="J60" s="25"/>
      <c r="K60" s="33"/>
      <c r="L60" s="33"/>
      <c r="M60" s="25"/>
      <c r="N60" s="26"/>
      <c r="O60" s="26"/>
      <c r="P60" s="25"/>
      <c r="Q60" s="25"/>
      <c r="R60" s="28"/>
      <c r="S60" s="28"/>
      <c r="T60" s="27"/>
      <c r="U60" s="28"/>
      <c r="V60" s="28"/>
      <c r="W60" s="27"/>
      <c r="X60" s="28"/>
      <c r="Y60" s="28"/>
      <c r="Z60" s="27"/>
      <c r="AA60" s="27"/>
      <c r="AB60" s="27"/>
      <c r="AC60" s="27"/>
      <c r="AD60" s="30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customFormat="false" ht="15" hidden="false" customHeight="true" outlineLevel="0" collapsed="false">
      <c r="A61" s="19"/>
      <c r="B61" s="19"/>
      <c r="C61" s="19"/>
      <c r="D61" s="19"/>
      <c r="E61" s="19"/>
      <c r="F61" s="19"/>
      <c r="G61" s="19"/>
      <c r="H61" s="26"/>
      <c r="I61" s="26"/>
      <c r="J61" s="25"/>
      <c r="K61" s="33"/>
      <c r="L61" s="33"/>
      <c r="M61" s="25"/>
      <c r="N61" s="26"/>
      <c r="O61" s="26"/>
      <c r="P61" s="25"/>
      <c r="Q61" s="25"/>
      <c r="R61" s="28"/>
      <c r="S61" s="28"/>
      <c r="T61" s="27"/>
      <c r="U61" s="28"/>
      <c r="V61" s="28"/>
      <c r="W61" s="27"/>
      <c r="X61" s="28"/>
      <c r="Y61" s="28"/>
      <c r="Z61" s="27"/>
      <c r="AA61" s="27"/>
      <c r="AB61" s="27"/>
      <c r="AC61" s="27"/>
      <c r="AD61" s="30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customFormat="false" ht="15" hidden="false" customHeight="true" outlineLevel="0" collapsed="false">
      <c r="A62" s="19"/>
      <c r="B62" s="19"/>
      <c r="C62" s="19"/>
      <c r="D62" s="19"/>
      <c r="E62" s="19"/>
      <c r="F62" s="19"/>
      <c r="G62" s="19"/>
      <c r="H62" s="26"/>
      <c r="I62" s="26"/>
      <c r="J62" s="25"/>
      <c r="K62" s="33"/>
      <c r="L62" s="33"/>
      <c r="M62" s="25"/>
      <c r="N62" s="26"/>
      <c r="O62" s="26"/>
      <c r="P62" s="25"/>
      <c r="Q62" s="25"/>
      <c r="R62" s="28"/>
      <c r="S62" s="28"/>
      <c r="T62" s="27"/>
      <c r="U62" s="28"/>
      <c r="V62" s="28"/>
      <c r="W62" s="27"/>
      <c r="X62" s="28"/>
      <c r="Y62" s="28"/>
      <c r="Z62" s="27"/>
      <c r="AA62" s="27"/>
      <c r="AB62" s="27"/>
      <c r="AC62" s="27"/>
      <c r="AD62" s="30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customFormat="false" ht="15" hidden="false" customHeight="true" outlineLevel="0" collapsed="false">
      <c r="A63" s="19" t="str">
        <f aca="false">IF(OR($E63="",$E63="---"),"---",WEEKDAY($E63,2))</f>
        <v>---</v>
      </c>
      <c r="B63" s="21" t="str">
        <f aca="false">IF(OR($E63="",$E63="---"),"---", IF(AND($A63&gt;5,$G63&lt;&gt;"---"),4, IF($G63&lt;&gt;"---",3, IF($A63&gt;5,2, 1))))</f>
        <v>---</v>
      </c>
      <c r="C63" s="22" t="str">
        <f aca="false">IF($B63="---","---",  IF($B63=4,"SVÁTEK + VÍKEND",  IF($B63=3,"SVÁTEK",  IF($B63=2,"VÍKEND",  "PRACOVNÍ DEN"))))</f>
        <v>---</v>
      </c>
      <c r="D63" s="9" t="str">
        <f aca="false">IF(OR($E63="",$E63="---"),"---",WEEKNUM($E63,2))</f>
        <v>---</v>
      </c>
      <c r="E63" s="32" t="str">
        <f aca="false">IF($E59="","---",IF($E59="---","---",IF(MONTH($E59+1)=MONTH($E59),$E59+1,"---")))</f>
        <v>---</v>
      </c>
      <c r="F63" s="21" t="str">
        <f aca="false">IF($E63="","---",IF($E63="---","---",IF($E63&gt;0,CHOOSE(WEEKDAY($E63,2),"Po","Út","St","Čt","Pá","So","Ne"))))</f>
        <v>---</v>
      </c>
      <c r="G63" s="16" t="str">
        <f aca="false">IF($F63="---","---", IF(AND($A$1&lt;&gt;"---",$E63=$A$1-2),"Velký pátek", IF(AND($A$1&lt;&gt;"---",$E63=$A$1+1),"Velikonoční pondělí", IF(AND(DAY($E63)=1, MONTH($E63)=1),"Den obnovy samostatného českého státu / Nový rok", IF(AND(DAY($E63)=1, MONTH($E63)=5),"Svátek práce", IF(AND(DAY($E63)=8, MONTH($E63)=5),"Den vítězství", IF(AND(DAY($E63)=5, MONTH($E63)=7),"Den slovanských věrozvěstů Cyrila a Metoděje", IF(AND(DAY($E63)=6, MONTH($E63)=7),"Den upálení mistra Jana Husa", IF(AND(DAY($E63)=28, MONTH($E63)=9),"Den české státnosti (sv. Václav)", IF(AND(DAY($E63)=28, MONTH($E63)=10),"Den vzniku samostatného československého státu", IF(AND(DAY($E63)=17, MONTH($E63)=11),"Den boje za svobodu a demokracii", IF(AND(DAY($E63)=24, MONTH($E63)=12),"Štědrý den", IF(AND(DAY($E63)=25, MONTH($E63)=12),"1. svátek vánoční", IF(AND(DAY($E63)=26, MONTH($E63)=12),"2. svátek vánoční", "---"))))))))))))))</f>
        <v>---</v>
      </c>
      <c r="H63" s="26"/>
      <c r="I63" s="26"/>
      <c r="J63" s="25" t="n">
        <f aca="false">IF($H63="",0,IF($I63="",0,IF($I63&lt;$H63,"Čas konce je opravdu mensi?",$I63-$H63)))</f>
        <v>0</v>
      </c>
      <c r="K63" s="26"/>
      <c r="L63" s="26"/>
      <c r="M63" s="25" t="n">
        <f aca="false">IF($K63="",0,IF($L63="",0,IF($L63&lt;$K63,"Čas konce je opravdu menší?",$L63-$K63)))</f>
        <v>0</v>
      </c>
      <c r="N63" s="26"/>
      <c r="O63" s="26"/>
      <c r="P63" s="25" t="n">
        <f aca="false">IF($N63="",0,IF($O63="",0,IF($O63&lt;$N63,"Čas konce je opravdu menší?",$O63-$N63)))</f>
        <v>0</v>
      </c>
      <c r="Q63" s="27" t="n">
        <f aca="false">$J63+$M63+$P63</f>
        <v>0</v>
      </c>
      <c r="R63" s="28" t="n">
        <f aca="false">IF(OR($H63="",$I63=""),0, IF($I63&gt;22/24, MAX($H63,22/24), IF($H63&lt;6/24, $H63,0)))</f>
        <v>0</v>
      </c>
      <c r="S63" s="28" t="n">
        <f aca="false">IF(OR($H63="",$I63=""),0,IF($I63&gt;22/24,MIN($I63,1),IF($H63&lt;6/24,MIN($I63,6/24),0)))</f>
        <v>0</v>
      </c>
      <c r="T63" s="27" t="n">
        <f aca="false">IF(OR($H63="",$I63=""),0, 
   MAX(0, MIN($I63,1) - MAX($H63,22/24))
 + MAX(0, MIN($I63,6/24) - MAX($H63,0))
)</f>
        <v>0</v>
      </c>
      <c r="U63" s="28" t="n">
        <f aca="false">IF(OR($K63="",$L63=""),0, IF($L63&gt;22/24, MAX($K63,22/24), IF($K63&lt;6/24, $K63,0)))</f>
        <v>0</v>
      </c>
      <c r="V63" s="28" t="n">
        <f aca="false">IF(OR($K63="",$L63=""),0,IF($L63&gt;22/24,MIN($L63,1),IF($K63&lt;6/24,MIN($L63,6/24),0)))</f>
        <v>0</v>
      </c>
      <c r="W63" s="27" t="n">
        <f aca="false">IF(OR($K63="",$L63=""),0, 
   MAX(0, MIN($L63,1) - MAX($K63,22/24))
 + MAX(0, MIN($L63,6/24) - MAX($K63,0))
)</f>
        <v>0</v>
      </c>
      <c r="X63" s="28" t="n">
        <f aca="false">IF(OR($N63="",$O63=""),0, IF($O63&gt;22/24, MAX($N63,22/24), IF($N63&lt;6/24, $N63,0)))</f>
        <v>0</v>
      </c>
      <c r="Y63" s="28" t="n">
        <f aca="false">IF(OR($N63="",$O63=""),0,IF($O63&gt;22/24,MIN($O63,1),IF($N63&lt;6/24,MIN($O63,6/24),0)))</f>
        <v>0</v>
      </c>
      <c r="Z63" s="27" t="n">
        <f aca="false">IF(OR($N63="",$O63=""),0, 
   MAX(0, MIN($O63,1) - MAX($N63,22/24))
 + MAX(0, MIN($O63,6/24) - MAX($N63,0))
)</f>
        <v>0</v>
      </c>
      <c r="AA63" s="29" t="str">
        <f aca="false">TEXT(INT($AG63/60),"00")  &amp; ":"  &amp; TEXT(MOD($AG63,60),"00")  &amp; ":00"</f>
        <v>00:00:00</v>
      </c>
      <c r="AB63" s="27" t="n">
        <f aca="false">$T63+$W63+$Z63</f>
        <v>0</v>
      </c>
      <c r="AC63" s="27" t="n">
        <f aca="false">IF(OR($F63="So",$F63="Ne"),$Q63,0)</f>
        <v>0</v>
      </c>
      <c r="AD63" s="30" t="n">
        <f aca="false">IF($G63&lt;&gt;"---", $Q63,0)</f>
        <v>0</v>
      </c>
      <c r="AE63" s="31" t="n">
        <f aca="false">($J63*1440) +($M63*1440) +($P63*1440)</f>
        <v>0</v>
      </c>
      <c r="AF63" s="31" t="n">
        <f aca="false">$AE63/60</f>
        <v>0</v>
      </c>
      <c r="AG63" s="31" t="n">
        <f aca="false">IF(OR($B63="", $B63="---"),0,     IF($B63=1,         MAX(0,$AE63 -480),$AE63     ))</f>
        <v>0</v>
      </c>
      <c r="AH63" s="31" t="n">
        <f aca="false">$AG63/60</f>
        <v>0</v>
      </c>
      <c r="AI63" s="31" t="n">
        <f aca="false">($T63+$W63+$Z63)*1440</f>
        <v>0</v>
      </c>
      <c r="AJ63" s="31" t="n">
        <f aca="false">$AI63/60</f>
        <v>0</v>
      </c>
      <c r="AK63" s="31" t="n">
        <f aca="false">(AC63)*1440</f>
        <v>0</v>
      </c>
      <c r="AL63" s="31" t="n">
        <f aca="false">$AK63/60</f>
        <v>0</v>
      </c>
      <c r="AM63" s="31" t="n">
        <f aca="false">($AD63)*1440</f>
        <v>0</v>
      </c>
      <c r="AN63" s="31" t="n">
        <f aca="false">$AM63/60</f>
        <v>0</v>
      </c>
    </row>
    <row r="64" customFormat="false" ht="15" hidden="false" customHeight="true" outlineLevel="0" collapsed="false">
      <c r="A64" s="19"/>
      <c r="B64" s="19"/>
      <c r="C64" s="19"/>
      <c r="D64" s="19"/>
      <c r="E64" s="19"/>
      <c r="F64" s="19"/>
      <c r="G64" s="19"/>
      <c r="H64" s="26"/>
      <c r="I64" s="26"/>
      <c r="J64" s="25"/>
      <c r="K64" s="26"/>
      <c r="L64" s="26"/>
      <c r="M64" s="25"/>
      <c r="N64" s="26"/>
      <c r="O64" s="26"/>
      <c r="P64" s="25"/>
      <c r="Q64" s="25"/>
      <c r="R64" s="28"/>
      <c r="S64" s="28"/>
      <c r="T64" s="27"/>
      <c r="U64" s="28"/>
      <c r="V64" s="28"/>
      <c r="W64" s="27"/>
      <c r="X64" s="28"/>
      <c r="Y64" s="28"/>
      <c r="Z64" s="27"/>
      <c r="AA64" s="27"/>
      <c r="AB64" s="27"/>
      <c r="AC64" s="27"/>
      <c r="AD64" s="30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customFormat="false" ht="15" hidden="false" customHeight="true" outlineLevel="0" collapsed="false">
      <c r="A65" s="19"/>
      <c r="B65" s="19"/>
      <c r="C65" s="19"/>
      <c r="D65" s="19"/>
      <c r="E65" s="19"/>
      <c r="F65" s="19"/>
      <c r="G65" s="19"/>
      <c r="H65" s="26"/>
      <c r="I65" s="26"/>
      <c r="J65" s="25"/>
      <c r="K65" s="26"/>
      <c r="L65" s="26"/>
      <c r="M65" s="25"/>
      <c r="N65" s="26"/>
      <c r="O65" s="26"/>
      <c r="P65" s="25"/>
      <c r="Q65" s="25"/>
      <c r="R65" s="28"/>
      <c r="S65" s="28"/>
      <c r="T65" s="27"/>
      <c r="U65" s="28"/>
      <c r="V65" s="28"/>
      <c r="W65" s="27"/>
      <c r="X65" s="28"/>
      <c r="Y65" s="28"/>
      <c r="Z65" s="27"/>
      <c r="AA65" s="27"/>
      <c r="AB65" s="27"/>
      <c r="AC65" s="27"/>
      <c r="AD65" s="30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customFormat="false" ht="15" hidden="false" customHeight="true" outlineLevel="0" collapsed="false">
      <c r="A66" s="19"/>
      <c r="B66" s="19"/>
      <c r="C66" s="19"/>
      <c r="D66" s="19"/>
      <c r="E66" s="19"/>
      <c r="F66" s="19"/>
      <c r="G66" s="19"/>
      <c r="H66" s="26"/>
      <c r="I66" s="26"/>
      <c r="J66" s="25"/>
      <c r="K66" s="26"/>
      <c r="L66" s="26"/>
      <c r="M66" s="25"/>
      <c r="N66" s="26"/>
      <c r="O66" s="26"/>
      <c r="P66" s="25"/>
      <c r="Q66" s="25"/>
      <c r="R66" s="28"/>
      <c r="S66" s="28"/>
      <c r="T66" s="27"/>
      <c r="U66" s="28"/>
      <c r="V66" s="28"/>
      <c r="W66" s="27"/>
      <c r="X66" s="28"/>
      <c r="Y66" s="28"/>
      <c r="Z66" s="27"/>
      <c r="AA66" s="27"/>
      <c r="AB66" s="27"/>
      <c r="AC66" s="27"/>
      <c r="AD66" s="30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customFormat="false" ht="15" hidden="false" customHeight="true" outlineLevel="0" collapsed="false">
      <c r="A67" s="19" t="str">
        <f aca="false">IF(OR($E67="",$E67="---"),"---",WEEKDAY($E67,2))</f>
        <v>---</v>
      </c>
      <c r="B67" s="21" t="str">
        <f aca="false">IF(OR($E67="",$E67="---"),"---", IF(AND($A67&gt;5,$G67&lt;&gt;"---"),4, IF($G67&lt;&gt;"---",3, IF($A67&gt;5,2, 1))))</f>
        <v>---</v>
      </c>
      <c r="C67" s="22" t="str">
        <f aca="false">IF($B67="---","---",  IF($B67=4,"SVÁTEK + VÍKEND",  IF($B67=3,"SVÁTEK",  IF($B67=2,"VÍKEND",  "PRACOVNÍ DEN"))))</f>
        <v>---</v>
      </c>
      <c r="D67" s="9" t="str">
        <f aca="false">IF(OR($E67="",$E67="---"),"---",WEEKNUM($E67,2))</f>
        <v>---</v>
      </c>
      <c r="E67" s="32" t="str">
        <f aca="false">IF($E63="","---",IF($E63="---","---",IF(MONTH($E63+1)=MONTH($E63),$E63+1,"---")))</f>
        <v>---</v>
      </c>
      <c r="F67" s="21" t="str">
        <f aca="false">IF($E67="","---",IF($E67="---","---",IF($E67&gt;0,CHOOSE(WEEKDAY($E67,2),"Po","Út","St","Čt","Pá","So","Ne"))))</f>
        <v>---</v>
      </c>
      <c r="G67" s="16" t="str">
        <f aca="false">IF($F67="---","---", IF(AND($A$1&lt;&gt;"---",$E67=$A$1-2),"Velký pátek", IF(AND($A$1&lt;&gt;"---",$E67=$A$1+1),"Velikonoční pondělí", IF(AND(DAY($E67)=1, MONTH($E67)=1),"Den obnovy samostatného českého státu / Nový rok", IF(AND(DAY($E67)=1, MONTH($E67)=5),"Svátek práce", IF(AND(DAY($E67)=8, MONTH($E67)=5),"Den vítězství", IF(AND(DAY($E67)=5, MONTH($E67)=7),"Den slovanských věrozvěstů Cyrila a Metoděje", IF(AND(DAY($E67)=6, MONTH($E67)=7),"Den upálení mistra Jana Husa", IF(AND(DAY($E67)=28, MONTH($E67)=9),"Den české státnosti (sv. Václav)", IF(AND(DAY($E67)=28, MONTH($E67)=10),"Den vzniku samostatného československého státu", IF(AND(DAY($E67)=17, MONTH($E67)=11),"Den boje za svobodu a demokracii", IF(AND(DAY($E67)=24, MONTH($E67)=12),"Štědrý den", IF(AND(DAY($E67)=25, MONTH($E67)=12),"1. svátek vánoční", IF(AND(DAY($E67)=26, MONTH($E67)=12),"2. svátek vánoční", "---"))))))))))))))</f>
        <v>---</v>
      </c>
      <c r="H67" s="33"/>
      <c r="I67" s="33"/>
      <c r="J67" s="25" t="n">
        <f aca="false">IF($H67="",0,IF($I67="",0,IF($I67&lt;$H67,"Čas konce je opravdu mensi?",$I67-$H67)))</f>
        <v>0</v>
      </c>
      <c r="K67" s="33"/>
      <c r="L67" s="33"/>
      <c r="M67" s="25" t="n">
        <f aca="false">IF($K67="",0,IF($L67="",0,IF($L67&lt;$K67,"Čas konce je opravdu menší?",$L67-$K67)))</f>
        <v>0</v>
      </c>
      <c r="N67" s="26"/>
      <c r="O67" s="26"/>
      <c r="P67" s="25" t="n">
        <f aca="false">IF($N67="",0,IF($O67="",0,IF($O67&lt;$N67,"Čas konce je opravdu menší?",$O67-$N67)))</f>
        <v>0</v>
      </c>
      <c r="Q67" s="27" t="n">
        <f aca="false">$J67+$M67+$P67</f>
        <v>0</v>
      </c>
      <c r="R67" s="28" t="n">
        <f aca="false">IF(OR($H67="",$I67=""),0, IF($I67&gt;22/24, MAX($H67,22/24), IF($H67&lt;6/24, $H67,0)))</f>
        <v>0</v>
      </c>
      <c r="S67" s="28" t="n">
        <f aca="false">IF(OR($H67="",$I67=""),0,IF($I67&gt;22/24,MIN($I67,1),IF($H67&lt;6/24,MIN($I67,6/24),0)))</f>
        <v>0</v>
      </c>
      <c r="T67" s="27" t="n">
        <f aca="false">IF(OR($H67="",$I67=""),0, 
   MAX(0, MIN($I67,1) - MAX($H67,22/24))
 + MAX(0, MIN($I67,6/24) - MAX($H67,0))
)</f>
        <v>0</v>
      </c>
      <c r="U67" s="28" t="n">
        <f aca="false">IF(OR($K67="",$L67=""),0, IF($L67&gt;22/24, MAX($K67,22/24), IF($K67&lt;6/24, $K67,0)))</f>
        <v>0</v>
      </c>
      <c r="V67" s="28" t="n">
        <f aca="false">IF(OR($K67="",$L67=""),0,IF($L67&gt;22/24,MIN($L67,1),IF($K67&lt;6/24,MIN($L67,6/24),0)))</f>
        <v>0</v>
      </c>
      <c r="W67" s="27" t="n">
        <f aca="false">IF(OR($K67="",$L67=""),0, 
   MAX(0, MIN($L67,1) - MAX($K67,22/24))
 + MAX(0, MIN($L67,6/24) - MAX($K67,0))
)</f>
        <v>0</v>
      </c>
      <c r="X67" s="28" t="n">
        <f aca="false">IF(OR($N67="",$O67=""),0, IF($O67&gt;22/24, MAX($N67,22/24), IF($N67&lt;6/24, $N67,0)))</f>
        <v>0</v>
      </c>
      <c r="Y67" s="28" t="n">
        <f aca="false">IF(OR($N67="",$O67=""),0,IF($O67&gt;22/24,MIN($O67,1),IF($N67&lt;6/24,MIN($O67,6/24),0)))</f>
        <v>0</v>
      </c>
      <c r="Z67" s="27" t="n">
        <f aca="false">IF(OR($N67="",$O67=""),0, 
   MAX(0, MIN($O67,1) - MAX($N67,22/24))
 + MAX(0, MIN($O67,6/24) - MAX($N67,0))
)</f>
        <v>0</v>
      </c>
      <c r="AA67" s="29" t="str">
        <f aca="false">TEXT(INT($AG67/60),"00")  &amp; ":"  &amp; TEXT(MOD($AG67,60),"00")  &amp; ":00"</f>
        <v>00:00:00</v>
      </c>
      <c r="AB67" s="27" t="n">
        <f aca="false">$T67+$W67+$Z67</f>
        <v>0</v>
      </c>
      <c r="AC67" s="27" t="n">
        <f aca="false">IF(OR($F67="So",$F67="Ne"),$Q67,0)</f>
        <v>0</v>
      </c>
      <c r="AD67" s="30" t="n">
        <f aca="false">IF($G67&lt;&gt;"---", $Q67,0)</f>
        <v>0</v>
      </c>
      <c r="AE67" s="31" t="n">
        <f aca="false">($J67*1440) +($M67*1440) +($P67*1440)</f>
        <v>0</v>
      </c>
      <c r="AF67" s="31" t="n">
        <f aca="false">$AE67/60</f>
        <v>0</v>
      </c>
      <c r="AG67" s="31" t="n">
        <f aca="false">IF(OR($B67="", $B67="---"),0,     IF($B67=1,         MAX(0,$AE67 -480),$AE67     ))</f>
        <v>0</v>
      </c>
      <c r="AH67" s="31" t="n">
        <f aca="false">$AG67/60</f>
        <v>0</v>
      </c>
      <c r="AI67" s="31" t="n">
        <f aca="false">($T67+$W67+$Z67)*1440</f>
        <v>0</v>
      </c>
      <c r="AJ67" s="31" t="n">
        <f aca="false">$AI67/60</f>
        <v>0</v>
      </c>
      <c r="AK67" s="31" t="n">
        <f aca="false">(AC67)*1440</f>
        <v>0</v>
      </c>
      <c r="AL67" s="31" t="n">
        <f aca="false">$AK67/60</f>
        <v>0</v>
      </c>
      <c r="AM67" s="31" t="n">
        <f aca="false">($AD67)*1440</f>
        <v>0</v>
      </c>
      <c r="AN67" s="31" t="n">
        <f aca="false">$AM67/60</f>
        <v>0</v>
      </c>
    </row>
    <row r="68" customFormat="false" ht="15" hidden="false" customHeight="true" outlineLevel="0" collapsed="false">
      <c r="A68" s="19"/>
      <c r="B68" s="19"/>
      <c r="C68" s="19"/>
      <c r="D68" s="19"/>
      <c r="E68" s="19"/>
      <c r="F68" s="19"/>
      <c r="G68" s="19"/>
      <c r="H68" s="33"/>
      <c r="I68" s="33"/>
      <c r="J68" s="25"/>
      <c r="K68" s="33"/>
      <c r="L68" s="33"/>
      <c r="M68" s="25"/>
      <c r="N68" s="26"/>
      <c r="O68" s="26"/>
      <c r="P68" s="25"/>
      <c r="Q68" s="25"/>
      <c r="R68" s="28"/>
      <c r="S68" s="28"/>
      <c r="T68" s="27"/>
      <c r="U68" s="28"/>
      <c r="V68" s="28"/>
      <c r="W68" s="27"/>
      <c r="X68" s="28"/>
      <c r="Y68" s="28"/>
      <c r="Z68" s="27"/>
      <c r="AA68" s="27"/>
      <c r="AB68" s="27"/>
      <c r="AC68" s="27"/>
      <c r="AD68" s="30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customFormat="false" ht="15" hidden="false" customHeight="true" outlineLevel="0" collapsed="false">
      <c r="A69" s="19"/>
      <c r="B69" s="19"/>
      <c r="C69" s="19"/>
      <c r="D69" s="19"/>
      <c r="E69" s="19"/>
      <c r="F69" s="19"/>
      <c r="G69" s="19"/>
      <c r="H69" s="33"/>
      <c r="I69" s="33"/>
      <c r="J69" s="25"/>
      <c r="K69" s="33"/>
      <c r="L69" s="33"/>
      <c r="M69" s="25"/>
      <c r="N69" s="26"/>
      <c r="O69" s="26"/>
      <c r="P69" s="25"/>
      <c r="Q69" s="25"/>
      <c r="R69" s="28"/>
      <c r="S69" s="28"/>
      <c r="T69" s="27"/>
      <c r="U69" s="28"/>
      <c r="V69" s="28"/>
      <c r="W69" s="27"/>
      <c r="X69" s="28"/>
      <c r="Y69" s="28"/>
      <c r="Z69" s="27"/>
      <c r="AA69" s="27"/>
      <c r="AB69" s="27"/>
      <c r="AC69" s="27"/>
      <c r="AD69" s="30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customFormat="false" ht="15" hidden="false" customHeight="true" outlineLevel="0" collapsed="false">
      <c r="A70" s="19"/>
      <c r="B70" s="19"/>
      <c r="C70" s="19"/>
      <c r="D70" s="19"/>
      <c r="E70" s="19"/>
      <c r="F70" s="19"/>
      <c r="G70" s="19"/>
      <c r="H70" s="33"/>
      <c r="I70" s="33"/>
      <c r="J70" s="25"/>
      <c r="K70" s="33"/>
      <c r="L70" s="33"/>
      <c r="M70" s="25"/>
      <c r="N70" s="26"/>
      <c r="O70" s="26"/>
      <c r="P70" s="25"/>
      <c r="Q70" s="25"/>
      <c r="R70" s="28"/>
      <c r="S70" s="28"/>
      <c r="T70" s="27"/>
      <c r="U70" s="28"/>
      <c r="V70" s="28"/>
      <c r="W70" s="27"/>
      <c r="X70" s="28"/>
      <c r="Y70" s="28"/>
      <c r="Z70" s="27"/>
      <c r="AA70" s="27"/>
      <c r="AB70" s="27"/>
      <c r="AC70" s="27"/>
      <c r="AD70" s="30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customFormat="false" ht="15" hidden="false" customHeight="true" outlineLevel="0" collapsed="false">
      <c r="A71" s="19" t="str">
        <f aca="false">IF(OR($E71="",$E71="---"),"---",WEEKDAY($E71,2))</f>
        <v>---</v>
      </c>
      <c r="B71" s="21" t="str">
        <f aca="false">IF(OR($E71="",$E71="---"),"---", IF(AND($A71&gt;5,$G71&lt;&gt;"---"),4, IF($G71&lt;&gt;"---",3, IF($A71&gt;5,2, 1))))</f>
        <v>---</v>
      </c>
      <c r="C71" s="22" t="str">
        <f aca="false">IF($B71="---","---",  IF($B71=4,"SVÁTEK + VÍKEND",  IF($B71=3,"SVÁTEK",  IF($B71=2,"VÍKEND",  "PRACOVNÍ DEN"))))</f>
        <v>---</v>
      </c>
      <c r="D71" s="9" t="str">
        <f aca="false">IF(OR($E71="",$E71="---"),"---",WEEKNUM($E71,2))</f>
        <v>---</v>
      </c>
      <c r="E71" s="32" t="str">
        <f aca="false">IF($E67="","---",IF($E67="---","---",IF(MONTH($E67+1)=MONTH($E67),$E67+1,"---")))</f>
        <v>---</v>
      </c>
      <c r="F71" s="21" t="str">
        <f aca="false">IF($E71="","---",IF($E71="---","---",IF($E71&gt;0,CHOOSE(WEEKDAY($E71,2),"Po","Út","St","Čt","Pá","So","Ne"))))</f>
        <v>---</v>
      </c>
      <c r="G71" s="16" t="str">
        <f aca="false">IF($F71="---","---", IF(AND($A$1&lt;&gt;"---",$E71=$A$1-2),"Velký pátek", IF(AND($A$1&lt;&gt;"---",$E71=$A$1+1),"Velikonoční pondělí", IF(AND(DAY($E71)=1, MONTH($E71)=1),"Den obnovy samostatného českého státu / Nový rok", IF(AND(DAY($E71)=1, MONTH($E71)=5),"Svátek práce", IF(AND(DAY($E71)=8, MONTH($E71)=5),"Den vítězství", IF(AND(DAY($E71)=5, MONTH($E71)=7),"Den slovanských věrozvěstů Cyrila a Metoděje", IF(AND(DAY($E71)=6, MONTH($E71)=7),"Den upálení mistra Jana Husa", IF(AND(DAY($E71)=28, MONTH($E71)=9),"Den české státnosti (sv. Václav)", IF(AND(DAY($E71)=28, MONTH($E71)=10),"Den vzniku samostatného československého státu", IF(AND(DAY($E71)=17, MONTH($E71)=11),"Den boje za svobodu a demokracii", IF(AND(DAY($E71)=24, MONTH($E71)=12),"Štědrý den", IF(AND(DAY($E71)=25, MONTH($E71)=12),"1. svátek vánoční", IF(AND(DAY($E71)=26, MONTH($E71)=12),"2. svátek vánoční", "---"))))))))))))))</f>
        <v>---</v>
      </c>
      <c r="H71" s="26"/>
      <c r="I71" s="34"/>
      <c r="J71" s="25" t="n">
        <f aca="false">IF($H71="",0,IF($I71="",0,IF($I71&lt;$H71,"Čas konce je opravdu mensi?",$I71-$H71)))</f>
        <v>0</v>
      </c>
      <c r="K71" s="33"/>
      <c r="L71" s="33"/>
      <c r="M71" s="25" t="n">
        <f aca="false">IF($K71="",0,IF($L71="",0,IF($L71&lt;$K71,"Čas konce je opravdu menší?",$L71-$K71)))</f>
        <v>0</v>
      </c>
      <c r="N71" s="26"/>
      <c r="O71" s="26"/>
      <c r="P71" s="25" t="n">
        <f aca="false">IF($N71="",0,IF($O71="",0,IF($O71&lt;$N71,"Čas konce je opravdu menší?",$O71-$N71)))</f>
        <v>0</v>
      </c>
      <c r="Q71" s="27" t="n">
        <f aca="false">$J71+$M71+$P71</f>
        <v>0</v>
      </c>
      <c r="R71" s="28" t="n">
        <f aca="false">IF(OR($H71="",$I71=""),0, IF($I71&gt;22/24, MAX($H71,22/24), IF($H71&lt;6/24, $H71,0)))</f>
        <v>0</v>
      </c>
      <c r="S71" s="28" t="n">
        <f aca="false">IF(OR($H71="",$I71=""),0,IF($I71&gt;22/24,MIN($I71,1),IF($H71&lt;6/24,MIN($I71,6/24),0)))</f>
        <v>0</v>
      </c>
      <c r="T71" s="27" t="n">
        <f aca="false">IF(OR($H71="",$I71=""),0, 
   MAX(0, MIN($I71,1) - MAX($H71,22/24))
 + MAX(0, MIN($I71,6/24) - MAX($H71,0))
)</f>
        <v>0</v>
      </c>
      <c r="U71" s="28" t="n">
        <f aca="false">IF(OR($K71="",$L71=""),0, IF($L71&gt;22/24, MAX($K71,22/24), IF($K71&lt;6/24, $K71,0)))</f>
        <v>0</v>
      </c>
      <c r="V71" s="28" t="n">
        <f aca="false">IF(OR($K71="",$L71=""),0,IF($L71&gt;22/24,MIN($L71,1),IF($K71&lt;6/24,MIN($L71,6/24),0)))</f>
        <v>0</v>
      </c>
      <c r="W71" s="27" t="n">
        <f aca="false">IF(OR($K71="",$L71=""),0, 
   MAX(0, MIN($L71,1) - MAX($K71,22/24))
 + MAX(0, MIN($L71,6/24) - MAX($K71,0))
)</f>
        <v>0</v>
      </c>
      <c r="X71" s="28" t="n">
        <f aca="false">IF(OR($N71="",$O71=""),0, IF($O71&gt;22/24, MAX($N71,22/24), IF($N71&lt;6/24, $N71,0)))</f>
        <v>0</v>
      </c>
      <c r="Y71" s="28" t="n">
        <f aca="false">IF(OR($N71="",$O71=""),0,IF($O71&gt;22/24,MIN($O71,1),IF($N71&lt;6/24,MIN($O71,6/24),0)))</f>
        <v>0</v>
      </c>
      <c r="Z71" s="27" t="n">
        <f aca="false">IF(OR($N71="",$O71=""),0, 
   MAX(0, MIN($O71,1) - MAX($N71,22/24))
 + MAX(0, MIN($O71,6/24) - MAX($N71,0))
)</f>
        <v>0</v>
      </c>
      <c r="AA71" s="29" t="str">
        <f aca="false">TEXT(INT($AG71/60),"00")  &amp; ":"  &amp; TEXT(MOD($AG71,60),"00")  &amp; ":00"</f>
        <v>00:00:00</v>
      </c>
      <c r="AB71" s="27" t="n">
        <f aca="false">$T71+$W71+$Z71</f>
        <v>0</v>
      </c>
      <c r="AC71" s="27" t="n">
        <f aca="false">IF(OR($F71="So",$F71="Ne"),$Q71,0)</f>
        <v>0</v>
      </c>
      <c r="AD71" s="30" t="n">
        <f aca="false">IF($G71&lt;&gt;"---", $Q71,0)</f>
        <v>0</v>
      </c>
      <c r="AE71" s="31" t="n">
        <f aca="false">($J71*1440) +($M71*1440) +($P71*1440)</f>
        <v>0</v>
      </c>
      <c r="AF71" s="31" t="n">
        <f aca="false">$AE71/60</f>
        <v>0</v>
      </c>
      <c r="AG71" s="31" t="n">
        <f aca="false">IF(OR($B71="", $B71="---"),0,     IF($B71=1,         MAX(0,$AE71 -480),$AE71     ))</f>
        <v>0</v>
      </c>
      <c r="AH71" s="31" t="n">
        <f aca="false">$AG71/60</f>
        <v>0</v>
      </c>
      <c r="AI71" s="31" t="n">
        <f aca="false">($T71+$W71+$Z71)*1440</f>
        <v>0</v>
      </c>
      <c r="AJ71" s="31" t="n">
        <f aca="false">$AI71/60</f>
        <v>0</v>
      </c>
      <c r="AK71" s="31" t="n">
        <f aca="false">(AC71)*1440</f>
        <v>0</v>
      </c>
      <c r="AL71" s="31" t="n">
        <f aca="false">$AK71/60</f>
        <v>0</v>
      </c>
      <c r="AM71" s="31" t="n">
        <f aca="false">($AD71)*1440</f>
        <v>0</v>
      </c>
      <c r="AN71" s="31" t="n">
        <f aca="false">$AM71/60</f>
        <v>0</v>
      </c>
    </row>
    <row r="72" customFormat="false" ht="15" hidden="false" customHeight="true" outlineLevel="0" collapsed="false">
      <c r="A72" s="19"/>
      <c r="B72" s="19"/>
      <c r="C72" s="19"/>
      <c r="D72" s="19"/>
      <c r="E72" s="19"/>
      <c r="F72" s="19"/>
      <c r="G72" s="19"/>
      <c r="H72" s="26"/>
      <c r="I72" s="26"/>
      <c r="J72" s="25"/>
      <c r="K72" s="33"/>
      <c r="L72" s="33"/>
      <c r="M72" s="25"/>
      <c r="N72" s="26"/>
      <c r="O72" s="26"/>
      <c r="P72" s="25"/>
      <c r="Q72" s="25"/>
      <c r="R72" s="28"/>
      <c r="S72" s="28"/>
      <c r="T72" s="27"/>
      <c r="U72" s="28"/>
      <c r="V72" s="28"/>
      <c r="W72" s="27"/>
      <c r="X72" s="28"/>
      <c r="Y72" s="28"/>
      <c r="Z72" s="27"/>
      <c r="AA72" s="27"/>
      <c r="AB72" s="27"/>
      <c r="AC72" s="27"/>
      <c r="AD72" s="30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customFormat="false" ht="15" hidden="false" customHeight="true" outlineLevel="0" collapsed="false">
      <c r="A73" s="19"/>
      <c r="B73" s="19"/>
      <c r="C73" s="19"/>
      <c r="D73" s="19"/>
      <c r="E73" s="19"/>
      <c r="F73" s="19"/>
      <c r="G73" s="19"/>
      <c r="H73" s="26"/>
      <c r="I73" s="26"/>
      <c r="J73" s="25"/>
      <c r="K73" s="33"/>
      <c r="L73" s="33"/>
      <c r="M73" s="25"/>
      <c r="N73" s="26"/>
      <c r="O73" s="26"/>
      <c r="P73" s="25"/>
      <c r="Q73" s="25"/>
      <c r="R73" s="28"/>
      <c r="S73" s="28"/>
      <c r="T73" s="27"/>
      <c r="U73" s="28"/>
      <c r="V73" s="28"/>
      <c r="W73" s="27"/>
      <c r="X73" s="28"/>
      <c r="Y73" s="28"/>
      <c r="Z73" s="27"/>
      <c r="AA73" s="27"/>
      <c r="AB73" s="27"/>
      <c r="AC73" s="27"/>
      <c r="AD73" s="30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customFormat="false" ht="15" hidden="false" customHeight="true" outlineLevel="0" collapsed="false">
      <c r="A74" s="19"/>
      <c r="B74" s="19"/>
      <c r="C74" s="19"/>
      <c r="D74" s="19"/>
      <c r="E74" s="19"/>
      <c r="F74" s="19"/>
      <c r="G74" s="19"/>
      <c r="H74" s="26"/>
      <c r="I74" s="26"/>
      <c r="J74" s="25"/>
      <c r="K74" s="33"/>
      <c r="L74" s="33"/>
      <c r="M74" s="25"/>
      <c r="N74" s="26"/>
      <c r="O74" s="26"/>
      <c r="P74" s="25"/>
      <c r="Q74" s="25"/>
      <c r="R74" s="28"/>
      <c r="S74" s="28"/>
      <c r="T74" s="27"/>
      <c r="U74" s="28"/>
      <c r="V74" s="28"/>
      <c r="W74" s="27"/>
      <c r="X74" s="28"/>
      <c r="Y74" s="28"/>
      <c r="Z74" s="27"/>
      <c r="AA74" s="27"/>
      <c r="AB74" s="27"/>
      <c r="AC74" s="27"/>
      <c r="AD74" s="30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customFormat="false" ht="15" hidden="false" customHeight="true" outlineLevel="0" collapsed="false">
      <c r="A75" s="19" t="str">
        <f aca="false">IF(OR($E75="",$E75="---"),"---",WEEKDAY($E75,2))</f>
        <v>---</v>
      </c>
      <c r="B75" s="21" t="str">
        <f aca="false">IF(OR($E75="",$E75="---"),"---", IF(AND($A75&gt;5,$G75&lt;&gt;"---"),4, IF($G75&lt;&gt;"---",3, IF($A75&gt;5,2, 1))))</f>
        <v>---</v>
      </c>
      <c r="C75" s="22" t="str">
        <f aca="false">IF($B75="---","---",  IF($B75=4,"SVÁTEK + VÍKEND",  IF($B75=3,"SVÁTEK",  IF($B75=2,"VÍKEND",  "PRACOVNÍ DEN"))))</f>
        <v>---</v>
      </c>
      <c r="D75" s="9" t="str">
        <f aca="false">IF(OR($E75="",$E75="---"),"---",WEEKNUM($E75,2))</f>
        <v>---</v>
      </c>
      <c r="E75" s="32" t="str">
        <f aca="false">IF($E71="","---",IF($E71="---","---",IF(MONTH($E71+1)=MONTH($E71),$E71+1,"---")))</f>
        <v>---</v>
      </c>
      <c r="F75" s="21" t="str">
        <f aca="false">IF($E75="","---",IF($E75="---","---",IF($E75&gt;0,CHOOSE(WEEKDAY($E75,2),"Po","Út","St","Čt","Pá","So","Ne"))))</f>
        <v>---</v>
      </c>
      <c r="G75" s="16" t="str">
        <f aca="false">IF($F75="---","---", IF(AND($A$1&lt;&gt;"---",$E75=$A$1-2),"Velký pátek", IF(AND($A$1&lt;&gt;"---",$E75=$A$1+1),"Velikonoční pondělí", IF(AND(DAY($E75)=1, MONTH($E75)=1),"Den obnovy samostatného českého státu / Nový rok", IF(AND(DAY($E75)=1, MONTH($E75)=5),"Svátek práce", IF(AND(DAY($E75)=8, MONTH($E75)=5),"Den vítězství", IF(AND(DAY($E75)=5, MONTH($E75)=7),"Den slovanských věrozvěstů Cyrila a Metoděje", IF(AND(DAY($E75)=6, MONTH($E75)=7),"Den upálení mistra Jana Husa", IF(AND(DAY($E75)=28, MONTH($E75)=9),"Den české státnosti (sv. Václav)", IF(AND(DAY($E75)=28, MONTH($E75)=10),"Den vzniku samostatného československého státu", IF(AND(DAY($E75)=17, MONTH($E75)=11),"Den boje za svobodu a demokracii", IF(AND(DAY($E75)=24, MONTH($E75)=12),"Štědrý den", IF(AND(DAY($E75)=25, MONTH($E75)=12),"1. svátek vánoční", IF(AND(DAY($E75)=26, MONTH($E75)=12),"2. svátek vánoční", "---"))))))))))))))</f>
        <v>---</v>
      </c>
      <c r="H75" s="26"/>
      <c r="I75" s="26"/>
      <c r="J75" s="25" t="n">
        <f aca="false">IF($H75="",0,IF($I75="",0,IF($I75&lt;$H75,"Čas konce je opravdu mensi?",$I75-$H75)))</f>
        <v>0</v>
      </c>
      <c r="K75" s="26"/>
      <c r="L75" s="34"/>
      <c r="M75" s="25" t="n">
        <f aca="false">IF($K75="",0,IF($L75="",0,IF($L75&lt;$K75,"Čas konce je opravdu menší?",$L75-$K75)))</f>
        <v>0</v>
      </c>
      <c r="N75" s="26"/>
      <c r="O75" s="26"/>
      <c r="P75" s="25" t="n">
        <f aca="false">IF($N75="",0,IF($O75="",0,IF($O75&lt;$N75,"Čas konce je opravdu menší?",$O75-$N75)))</f>
        <v>0</v>
      </c>
      <c r="Q75" s="27" t="n">
        <f aca="false">$J75+$M75+$P75</f>
        <v>0</v>
      </c>
      <c r="R75" s="28" t="n">
        <f aca="false">IF(OR($H75="",$I75=""),0, IF($I75&gt;22/24, MAX($H75,22/24), IF($H75&lt;6/24, $H75,0)))</f>
        <v>0</v>
      </c>
      <c r="S75" s="28" t="n">
        <f aca="false">IF(OR($H75="",$I75=""),0,IF($I75&gt;22/24,MIN($I75,1),IF($H75&lt;6/24,MIN($I75,6/24),0)))</f>
        <v>0</v>
      </c>
      <c r="T75" s="27" t="n">
        <f aca="false">IF(OR($H75="",$I75=""),0, 
   MAX(0, MIN($I75,1) - MAX($H75,22/24))
 + MAX(0, MIN($I75,6/24) - MAX($H75,0))
)</f>
        <v>0</v>
      </c>
      <c r="U75" s="28" t="n">
        <f aca="false">IF(OR($K75="",$L75=""),0, IF($L75&gt;22/24, MAX($K75,22/24), IF($K75&lt;6/24, $K75,0)))</f>
        <v>0</v>
      </c>
      <c r="V75" s="28" t="n">
        <f aca="false">IF(OR($K75="",$L75=""),0,IF($L75&gt;22/24,MIN($L75,1),IF($K75&lt;6/24,MIN($L75,6/24),0)))</f>
        <v>0</v>
      </c>
      <c r="W75" s="27" t="n">
        <f aca="false">IF(OR($K75="",$L75=""),0, 
   MAX(0, MIN($L75,1) - MAX($K75,22/24))
 + MAX(0, MIN($L75,6/24) - MAX($K75,0))
)</f>
        <v>0</v>
      </c>
      <c r="X75" s="28" t="n">
        <f aca="false">IF(OR($N75="",$O75=""),0, IF($O75&gt;22/24, MAX($N75,22/24), IF($N75&lt;6/24, $N75,0)))</f>
        <v>0</v>
      </c>
      <c r="Y75" s="28" t="n">
        <f aca="false">IF(OR($N75="",$O75=""),0,IF($O75&gt;22/24,MIN($O75,1),IF($N75&lt;6/24,MIN($O75,6/24),0)))</f>
        <v>0</v>
      </c>
      <c r="Z75" s="27" t="n">
        <f aca="false">IF(OR($N75="",$O75=""),0, 
   MAX(0, MIN($O75,1) - MAX($N75,22/24))
 + MAX(0, MIN($O75,6/24) - MAX($N75,0))
)</f>
        <v>0</v>
      </c>
      <c r="AA75" s="29" t="str">
        <f aca="false">TEXT(INT($AG75/60),"00")  &amp; ":"  &amp; TEXT(MOD($AG75,60),"00")  &amp; ":00"</f>
        <v>00:00:00</v>
      </c>
      <c r="AB75" s="27" t="n">
        <f aca="false">$T75+$W75+$Z75</f>
        <v>0</v>
      </c>
      <c r="AC75" s="27" t="n">
        <f aca="false">IF(OR($F75="So",$F75="Ne"),$Q75,0)</f>
        <v>0</v>
      </c>
      <c r="AD75" s="30" t="n">
        <f aca="false">IF($G75&lt;&gt;"---", $Q75,0)</f>
        <v>0</v>
      </c>
      <c r="AE75" s="31" t="n">
        <f aca="false">($J75*1440) +($M75*1440) +($P75*1440)</f>
        <v>0</v>
      </c>
      <c r="AF75" s="31" t="n">
        <f aca="false">$AE75/60</f>
        <v>0</v>
      </c>
      <c r="AG75" s="31" t="n">
        <f aca="false">IF(OR($B75="", $B75="---"),0,     IF($B75=1,         MAX(0,$AE75 -480),$AE75     ))</f>
        <v>0</v>
      </c>
      <c r="AH75" s="31" t="n">
        <f aca="false">$AG75/60</f>
        <v>0</v>
      </c>
      <c r="AI75" s="31" t="n">
        <f aca="false">($T75+$W75+$Z75)*1440</f>
        <v>0</v>
      </c>
      <c r="AJ75" s="31" t="n">
        <f aca="false">$AI75/60</f>
        <v>0</v>
      </c>
      <c r="AK75" s="31" t="n">
        <f aca="false">(AC75)*1440</f>
        <v>0</v>
      </c>
      <c r="AL75" s="31" t="n">
        <f aca="false">$AK75/60</f>
        <v>0</v>
      </c>
      <c r="AM75" s="31" t="n">
        <f aca="false">($AD75)*1440</f>
        <v>0</v>
      </c>
      <c r="AN75" s="31" t="n">
        <f aca="false">$AM75/60</f>
        <v>0</v>
      </c>
    </row>
    <row r="76" customFormat="false" ht="15" hidden="false" customHeight="true" outlineLevel="0" collapsed="false">
      <c r="A76" s="19"/>
      <c r="B76" s="19"/>
      <c r="C76" s="19"/>
      <c r="D76" s="19"/>
      <c r="E76" s="19"/>
      <c r="F76" s="19"/>
      <c r="G76" s="19"/>
      <c r="H76" s="26"/>
      <c r="I76" s="26"/>
      <c r="J76" s="25"/>
      <c r="K76" s="26"/>
      <c r="L76" s="26"/>
      <c r="M76" s="25"/>
      <c r="N76" s="26"/>
      <c r="O76" s="26"/>
      <c r="P76" s="25"/>
      <c r="Q76" s="25"/>
      <c r="R76" s="28"/>
      <c r="S76" s="28"/>
      <c r="T76" s="27"/>
      <c r="U76" s="28"/>
      <c r="V76" s="28"/>
      <c r="W76" s="27"/>
      <c r="X76" s="28"/>
      <c r="Y76" s="28"/>
      <c r="Z76" s="27"/>
      <c r="AA76" s="27"/>
      <c r="AB76" s="27"/>
      <c r="AC76" s="27"/>
      <c r="AD76" s="30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customFormat="false" ht="15" hidden="false" customHeight="true" outlineLevel="0" collapsed="false">
      <c r="A77" s="19"/>
      <c r="B77" s="19"/>
      <c r="C77" s="19"/>
      <c r="D77" s="19"/>
      <c r="E77" s="19"/>
      <c r="F77" s="19"/>
      <c r="G77" s="19"/>
      <c r="H77" s="26"/>
      <c r="I77" s="26"/>
      <c r="J77" s="25"/>
      <c r="K77" s="26"/>
      <c r="L77" s="26"/>
      <c r="M77" s="25"/>
      <c r="N77" s="26"/>
      <c r="O77" s="26"/>
      <c r="P77" s="25"/>
      <c r="Q77" s="25"/>
      <c r="R77" s="28"/>
      <c r="S77" s="28"/>
      <c r="T77" s="27"/>
      <c r="U77" s="28"/>
      <c r="V77" s="28"/>
      <c r="W77" s="27"/>
      <c r="X77" s="28"/>
      <c r="Y77" s="28"/>
      <c r="Z77" s="27"/>
      <c r="AA77" s="27"/>
      <c r="AB77" s="27"/>
      <c r="AC77" s="27"/>
      <c r="AD77" s="30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customFormat="false" ht="15" hidden="false" customHeight="true" outlineLevel="0" collapsed="false">
      <c r="A78" s="19"/>
      <c r="B78" s="19"/>
      <c r="C78" s="19"/>
      <c r="D78" s="19"/>
      <c r="E78" s="19"/>
      <c r="F78" s="19"/>
      <c r="G78" s="19"/>
      <c r="H78" s="26"/>
      <c r="I78" s="26"/>
      <c r="J78" s="25"/>
      <c r="K78" s="26"/>
      <c r="L78" s="26"/>
      <c r="M78" s="25"/>
      <c r="N78" s="26"/>
      <c r="O78" s="26"/>
      <c r="P78" s="25"/>
      <c r="Q78" s="25"/>
      <c r="R78" s="28"/>
      <c r="S78" s="28"/>
      <c r="T78" s="27"/>
      <c r="U78" s="28"/>
      <c r="V78" s="28"/>
      <c r="W78" s="27"/>
      <c r="X78" s="28"/>
      <c r="Y78" s="28"/>
      <c r="Z78" s="27"/>
      <c r="AA78" s="27"/>
      <c r="AB78" s="27"/>
      <c r="AC78" s="27"/>
      <c r="AD78" s="30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customFormat="false" ht="15" hidden="false" customHeight="true" outlineLevel="0" collapsed="false">
      <c r="A79" s="19" t="str">
        <f aca="false">IF(OR($E79="",$E79="---"),"---",WEEKDAY($E79,2))</f>
        <v>---</v>
      </c>
      <c r="B79" s="21" t="str">
        <f aca="false">IF(OR($E79="",$E79="---"),"---", IF(AND($A79&gt;5,$G79&lt;&gt;"---"),4, IF($G79&lt;&gt;"---",3, IF($A79&gt;5,2, 1))))</f>
        <v>---</v>
      </c>
      <c r="C79" s="22" t="str">
        <f aca="false">IF($B79="---","---",  IF($B79=4,"SVÁTEK + VÍKEND",  IF($B79=3,"SVÁTEK",  IF($B79=2,"VÍKEND",  "PRACOVNÍ DEN"))))</f>
        <v>---</v>
      </c>
      <c r="D79" s="9" t="str">
        <f aca="false">IF(OR($E79="",$E79="---"),"---",WEEKNUM($E79,2))</f>
        <v>---</v>
      </c>
      <c r="E79" s="32" t="str">
        <f aca="false">IF($E75="","---",IF($E75="---","---",IF(MONTH($E75+1)=MONTH($E75),$E75+1,"---")))</f>
        <v>---</v>
      </c>
      <c r="F79" s="21" t="str">
        <f aca="false">IF($E79="","---",IF($E79="---","---",IF($E79&gt;0,CHOOSE(WEEKDAY($E79,2),"Po","Út","St","Čt","Pá","So","Ne"))))</f>
        <v>---</v>
      </c>
      <c r="G79" s="16" t="str">
        <f aca="false">IF($F79="---","---", IF(AND($A$1&lt;&gt;"---",$E79=$A$1-2),"Velký pátek", IF(AND($A$1&lt;&gt;"---",$E79=$A$1+1),"Velikonoční pondělí", IF(AND(DAY($E79)=1, MONTH($E79)=1),"Den obnovy samostatného českého státu / Nový rok", IF(AND(DAY($E79)=1, MONTH($E79)=5),"Svátek práce", IF(AND(DAY($E79)=8, MONTH($E79)=5),"Den vítězství", IF(AND(DAY($E79)=5, MONTH($E79)=7),"Den slovanských věrozvěstů Cyrila a Metoděje", IF(AND(DAY($E79)=6, MONTH($E79)=7),"Den upálení mistra Jana Husa", IF(AND(DAY($E79)=28, MONTH($E79)=9),"Den české státnosti (sv. Václav)", IF(AND(DAY($E79)=28, MONTH($E79)=10),"Den vzniku samostatného československého státu", IF(AND(DAY($E79)=17, MONTH($E79)=11),"Den boje za svobodu a demokracii", IF(AND(DAY($E79)=24, MONTH($E79)=12),"Štědrý den", IF(AND(DAY($E79)=25, MONTH($E79)=12),"1. svátek vánoční", IF(AND(DAY($E79)=26, MONTH($E79)=12),"2. svátek vánoční", "---"))))))))))))))</f>
        <v>---</v>
      </c>
      <c r="H79" s="26"/>
      <c r="I79" s="26"/>
      <c r="J79" s="25" t="n">
        <f aca="false">IF($H79="",0,IF($I79="",0,IF($I79&lt;$H79,"Čas konce je opravdu mensi?",$I79-$H79)))</f>
        <v>0</v>
      </c>
      <c r="K79" s="26"/>
      <c r="L79" s="34"/>
      <c r="M79" s="25" t="n">
        <f aca="false">IF($K79="",0,IF($L79="",0,IF($L79&lt;$K79,"Čas konce je opravdu menší?",$L79-$K79)))</f>
        <v>0</v>
      </c>
      <c r="N79" s="26"/>
      <c r="O79" s="26"/>
      <c r="P79" s="25" t="n">
        <f aca="false">IF($N79="",0,IF($O79="",0,IF($O79&lt;$N79,"Čas konce je opravdu menší?",$O79-$N79)))</f>
        <v>0</v>
      </c>
      <c r="Q79" s="27" t="n">
        <f aca="false">$J79+$M79+$P79</f>
        <v>0</v>
      </c>
      <c r="R79" s="28" t="n">
        <f aca="false">IF(OR($H79="",$I79=""),0, IF($I79&gt;22/24, MAX($H79,22/24), IF($H79&lt;6/24, $H79,0)))</f>
        <v>0</v>
      </c>
      <c r="S79" s="28" t="n">
        <f aca="false">IF(OR($H79="",$I79=""),0,IF($I79&gt;22/24,MIN($I79,1),IF($H79&lt;6/24,MIN($I79,6/24),0)))</f>
        <v>0</v>
      </c>
      <c r="T79" s="27" t="n">
        <f aca="false">IF(OR($H79="",$I79=""),0, 
   MAX(0, MIN($I79,1) - MAX($H79,22/24))
 + MAX(0, MIN($I79,6/24) - MAX($H79,0))
)</f>
        <v>0</v>
      </c>
      <c r="U79" s="28" t="n">
        <f aca="false">IF(OR($K79="",$L79=""),0, IF($L79&gt;22/24, MAX($K79,22/24), IF($K79&lt;6/24, $K79,0)))</f>
        <v>0</v>
      </c>
      <c r="V79" s="28" t="n">
        <f aca="false">IF(OR($K79="",$L79=""),0,IF($L79&gt;22/24,MIN($L79,1),IF($K79&lt;6/24,MIN($L79,6/24),0)))</f>
        <v>0</v>
      </c>
      <c r="W79" s="27" t="n">
        <f aca="false">IF(OR($K79="",$L79=""),0, 
   MAX(0, MIN($L79,1) - MAX($K79,22/24))
 + MAX(0, MIN($L79,6/24) - MAX($K79,0))
)</f>
        <v>0</v>
      </c>
      <c r="X79" s="28" t="n">
        <f aca="false">IF(OR($N79="",$O79=""),0, IF($O79&gt;22/24, MAX($N79,22/24), IF($N79&lt;6/24, $N79,0)))</f>
        <v>0</v>
      </c>
      <c r="Y79" s="28" t="n">
        <f aca="false">IF(OR($N79="",$O79=""),0,IF($O79&gt;22/24,MIN($O79,1),IF($N79&lt;6/24,MIN($O79,6/24),0)))</f>
        <v>0</v>
      </c>
      <c r="Z79" s="27" t="n">
        <f aca="false">IF(OR($N79="",$O79=""),0, 
   MAX(0, MIN($O79,1) - MAX($N79,22/24))
 + MAX(0, MIN($O79,6/24) - MAX($N79,0))
)</f>
        <v>0</v>
      </c>
      <c r="AA79" s="29" t="str">
        <f aca="false">TEXT(INT($AG79/60),"00")  &amp; ":"  &amp; TEXT(MOD($AG79,60),"00")  &amp; ":00"</f>
        <v>00:00:00</v>
      </c>
      <c r="AB79" s="27" t="n">
        <f aca="false">$T79+$W79+$Z79</f>
        <v>0</v>
      </c>
      <c r="AC79" s="27" t="n">
        <f aca="false">IF(OR($F79="So",$F79="Ne"),$Q79,0)</f>
        <v>0</v>
      </c>
      <c r="AD79" s="30" t="n">
        <f aca="false">IF($G79&lt;&gt;"---", $Q79,0)</f>
        <v>0</v>
      </c>
      <c r="AE79" s="31" t="n">
        <f aca="false">($J79*1440) +($M79*1440) +($P79*1440)</f>
        <v>0</v>
      </c>
      <c r="AF79" s="31" t="n">
        <f aca="false">$AE79/60</f>
        <v>0</v>
      </c>
      <c r="AG79" s="31" t="n">
        <f aca="false">IF(OR($B79="", $B79="---"),0,     IF($B79=1,         MAX(0,$AE79 -480),$AE79     ))</f>
        <v>0</v>
      </c>
      <c r="AH79" s="31" t="n">
        <f aca="false">$AG79/60</f>
        <v>0</v>
      </c>
      <c r="AI79" s="31" t="n">
        <f aca="false">($T79+$W79+$Z79)*1440</f>
        <v>0</v>
      </c>
      <c r="AJ79" s="31" t="n">
        <f aca="false">$AI79/60</f>
        <v>0</v>
      </c>
      <c r="AK79" s="31" t="n">
        <f aca="false">(AC79)*1440</f>
        <v>0</v>
      </c>
      <c r="AL79" s="31" t="n">
        <f aca="false">$AK79/60</f>
        <v>0</v>
      </c>
      <c r="AM79" s="31" t="n">
        <f aca="false">($AD79)*1440</f>
        <v>0</v>
      </c>
      <c r="AN79" s="31" t="n">
        <f aca="false">$AM79/60</f>
        <v>0</v>
      </c>
    </row>
    <row r="80" customFormat="false" ht="15" hidden="false" customHeight="true" outlineLevel="0" collapsed="false">
      <c r="A80" s="19"/>
      <c r="B80" s="19"/>
      <c r="C80" s="19"/>
      <c r="D80" s="19"/>
      <c r="E80" s="19"/>
      <c r="F80" s="19"/>
      <c r="G80" s="19"/>
      <c r="H80" s="26"/>
      <c r="I80" s="26"/>
      <c r="J80" s="25"/>
      <c r="K80" s="26"/>
      <c r="L80" s="26"/>
      <c r="M80" s="25"/>
      <c r="N80" s="26"/>
      <c r="O80" s="26"/>
      <c r="P80" s="25"/>
      <c r="Q80" s="25"/>
      <c r="R80" s="28"/>
      <c r="S80" s="28"/>
      <c r="T80" s="27"/>
      <c r="U80" s="28"/>
      <c r="V80" s="28"/>
      <c r="W80" s="27"/>
      <c r="X80" s="28"/>
      <c r="Y80" s="28"/>
      <c r="Z80" s="27"/>
      <c r="AA80" s="27"/>
      <c r="AB80" s="27"/>
      <c r="AC80" s="27"/>
      <c r="AD80" s="30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customFormat="false" ht="15" hidden="false" customHeight="true" outlineLevel="0" collapsed="false">
      <c r="A81" s="19"/>
      <c r="B81" s="19"/>
      <c r="C81" s="19"/>
      <c r="D81" s="19"/>
      <c r="E81" s="19"/>
      <c r="F81" s="19"/>
      <c r="G81" s="19"/>
      <c r="H81" s="26"/>
      <c r="I81" s="26"/>
      <c r="J81" s="25"/>
      <c r="K81" s="26"/>
      <c r="L81" s="26"/>
      <c r="M81" s="25"/>
      <c r="N81" s="26"/>
      <c r="O81" s="26"/>
      <c r="P81" s="25"/>
      <c r="Q81" s="25"/>
      <c r="R81" s="28"/>
      <c r="S81" s="28"/>
      <c r="T81" s="27"/>
      <c r="U81" s="28"/>
      <c r="V81" s="28"/>
      <c r="W81" s="27"/>
      <c r="X81" s="28"/>
      <c r="Y81" s="28"/>
      <c r="Z81" s="27"/>
      <c r="AA81" s="27"/>
      <c r="AB81" s="27"/>
      <c r="AC81" s="27"/>
      <c r="AD81" s="30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customFormat="false" ht="15" hidden="false" customHeight="true" outlineLevel="0" collapsed="false">
      <c r="A82" s="19"/>
      <c r="B82" s="19"/>
      <c r="C82" s="19"/>
      <c r="D82" s="19"/>
      <c r="E82" s="19"/>
      <c r="F82" s="19"/>
      <c r="G82" s="19"/>
      <c r="H82" s="26"/>
      <c r="I82" s="26"/>
      <c r="J82" s="25"/>
      <c r="K82" s="26"/>
      <c r="L82" s="26"/>
      <c r="M82" s="25"/>
      <c r="N82" s="26"/>
      <c r="O82" s="26"/>
      <c r="P82" s="25"/>
      <c r="Q82" s="25"/>
      <c r="R82" s="28"/>
      <c r="S82" s="28"/>
      <c r="T82" s="27"/>
      <c r="U82" s="28"/>
      <c r="V82" s="28"/>
      <c r="W82" s="27"/>
      <c r="X82" s="28"/>
      <c r="Y82" s="28"/>
      <c r="Z82" s="27"/>
      <c r="AA82" s="27"/>
      <c r="AB82" s="27"/>
      <c r="AC82" s="27"/>
      <c r="AD82" s="30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customFormat="false" ht="15" hidden="false" customHeight="true" outlineLevel="0" collapsed="false">
      <c r="A83" s="19" t="str">
        <f aca="false">IF(OR($E83="",$E83="---"),"---",WEEKDAY($E83,2))</f>
        <v>---</v>
      </c>
      <c r="B83" s="21" t="str">
        <f aca="false">IF(OR($E83="",$E83="---"),"---", IF(AND($A83&gt;5,$G83&lt;&gt;"---"),4, IF($G83&lt;&gt;"---",3, IF($A83&gt;5,2, 1))))</f>
        <v>---</v>
      </c>
      <c r="C83" s="22" t="str">
        <f aca="false">IF($B83="---","---",  IF($B83=4,"SVÁTEK + VÍKEND",  IF($B83=3,"SVÁTEK",  IF($B83=2,"VÍKEND",  "PRACOVNÍ DEN"))))</f>
        <v>---</v>
      </c>
      <c r="D83" s="9" t="str">
        <f aca="false">IF(OR($E83="",$E83="---"),"---",WEEKNUM($E83,2))</f>
        <v>---</v>
      </c>
      <c r="E83" s="32" t="str">
        <f aca="false">IF($E79="","---",IF($E79="---","---",IF(MONTH($E79+1)=MONTH($E79),$E79+1,"---")))</f>
        <v>---</v>
      </c>
      <c r="F83" s="21" t="str">
        <f aca="false">IF($E83="","---",IF($E83="---","---",IF($E83&gt;0,CHOOSE(WEEKDAY($E83,2),"Po","Út","St","Čt","Pá","So","Ne"))))</f>
        <v>---</v>
      </c>
      <c r="G83" s="16" t="str">
        <f aca="false">IF($F83="---","---", IF(AND($A$1&lt;&gt;"---",$E83=$A$1-2),"Velký pátek", IF(AND($A$1&lt;&gt;"---",$E83=$A$1+1),"Velikonoční pondělí", IF(AND(DAY($E83)=1, MONTH($E83)=1),"Den obnovy samostatného českého státu / Nový rok", IF(AND(DAY($E83)=1, MONTH($E83)=5),"Svátek práce", IF(AND(DAY($E83)=8, MONTH($E83)=5),"Den vítězství", IF(AND(DAY($E83)=5, MONTH($E83)=7),"Den slovanských věrozvěstů Cyrila a Metoděje", IF(AND(DAY($E83)=6, MONTH($E83)=7),"Den upálení mistra Jana Husa", IF(AND(DAY($E83)=28, MONTH($E83)=9),"Den české státnosti (sv. Václav)", IF(AND(DAY($E83)=28, MONTH($E83)=10),"Den vzniku samostatného československého státu", IF(AND(DAY($E83)=17, MONTH($E83)=11),"Den boje za svobodu a demokracii", IF(AND(DAY($E83)=24, MONTH($E83)=12),"Štědrý den", IF(AND(DAY($E83)=25, MONTH($E83)=12),"1. svátek vánoční", IF(AND(DAY($E83)=26, MONTH($E83)=12),"2. svátek vánoční", "---"))))))))))))))</f>
        <v>---</v>
      </c>
      <c r="H83" s="26"/>
      <c r="I83" s="26"/>
      <c r="J83" s="25" t="n">
        <f aca="false">IF($H83="",0,IF($I83="",0,IF($I83&lt;$H83,"Čas konce je opravdu mensi?",$I83-$H83)))</f>
        <v>0</v>
      </c>
      <c r="K83" s="26"/>
      <c r="L83" s="34"/>
      <c r="M83" s="25" t="n">
        <f aca="false">IF($K83="",0,IF($L83="",0,IF($L83&lt;$K83,"Čas konce je opravdu menší?",$L83-$K83)))</f>
        <v>0</v>
      </c>
      <c r="N83" s="26"/>
      <c r="O83" s="26"/>
      <c r="P83" s="25" t="n">
        <f aca="false">IF($N83="",0,IF($O83="",0,IF($O83&lt;$N83,"Čas konce je opravdu menší?",$O83-$N83)))</f>
        <v>0</v>
      </c>
      <c r="Q83" s="27" t="n">
        <f aca="false">$J83+$M83+$P83</f>
        <v>0</v>
      </c>
      <c r="R83" s="28" t="n">
        <f aca="false">IF(OR($H83="",$I83=""),0, IF($I83&gt;22/24, MAX($H83,22/24), IF($H83&lt;6/24, $H83,0)))</f>
        <v>0</v>
      </c>
      <c r="S83" s="28" t="n">
        <f aca="false">IF(OR($H83="",$I83=""),0,IF($I83&gt;22/24,MIN($I83,1),IF($H83&lt;6/24,MIN($I83,6/24),0)))</f>
        <v>0</v>
      </c>
      <c r="T83" s="27" t="n">
        <f aca="false">IF(OR($H83="",$I83=""),0, 
   MAX(0, MIN($I83,1) - MAX($H83,22/24))
 + MAX(0, MIN($I83,6/24) - MAX($H83,0))
)</f>
        <v>0</v>
      </c>
      <c r="U83" s="28" t="n">
        <f aca="false">IF(OR($K83="",$L83=""),0, IF($L83&gt;22/24, MAX($K83,22/24), IF($K83&lt;6/24, $K83,0)))</f>
        <v>0</v>
      </c>
      <c r="V83" s="28" t="n">
        <f aca="false">IF(OR($K83="",$L83=""),0,IF($L83&gt;22/24,MIN($L83,1),IF($K83&lt;6/24,MIN($L83,6/24),0)))</f>
        <v>0</v>
      </c>
      <c r="W83" s="27" t="n">
        <f aca="false">IF(OR($K83="",$L83=""),0, 
   MAX(0, MIN($L83,1) - MAX($K83,22/24))
 + MAX(0, MIN($L83,6/24) - MAX($K83,0))
)</f>
        <v>0</v>
      </c>
      <c r="X83" s="28" t="n">
        <f aca="false">IF(OR($N83="",$O83=""),0, IF($O83&gt;22/24, MAX($N83,22/24), IF($N83&lt;6/24, $N83,0)))</f>
        <v>0</v>
      </c>
      <c r="Y83" s="28" t="n">
        <f aca="false">IF(OR($N83="",$O83=""),0,IF($O83&gt;22/24,MIN($O83,1),IF($N83&lt;6/24,MIN($O83,6/24),0)))</f>
        <v>0</v>
      </c>
      <c r="Z83" s="27" t="n">
        <f aca="false">IF(OR($N83="",$O83=""),0, 
   MAX(0, MIN($O83,1) - MAX($N83,22/24))
 + MAX(0, MIN($O83,6/24) - MAX($N83,0))
)</f>
        <v>0</v>
      </c>
      <c r="AA83" s="29" t="str">
        <f aca="false">TEXT(INT($AG83/60),"00")  &amp; ":"  &amp; TEXT(MOD($AG83,60),"00")  &amp; ":00"</f>
        <v>00:00:00</v>
      </c>
      <c r="AB83" s="27" t="n">
        <f aca="false">$T83+$W83+$Z83</f>
        <v>0</v>
      </c>
      <c r="AC83" s="27" t="n">
        <f aca="false">IF(OR($F83="So",$F83="Ne"),$Q83,0)</f>
        <v>0</v>
      </c>
      <c r="AD83" s="30" t="n">
        <f aca="false">IF($G83&lt;&gt;"---", $Q83,0)</f>
        <v>0</v>
      </c>
      <c r="AE83" s="31" t="n">
        <f aca="false">($J83*1440) +($M83*1440) +($P83*1440)</f>
        <v>0</v>
      </c>
      <c r="AF83" s="31" t="n">
        <f aca="false">$AE83/60</f>
        <v>0</v>
      </c>
      <c r="AG83" s="31" t="n">
        <f aca="false">IF(OR($B83="", $B83="---"),0,     IF($B83=1,         MAX(0,$AE83 -480),$AE83     ))</f>
        <v>0</v>
      </c>
      <c r="AH83" s="31" t="n">
        <f aca="false">$AG83/60</f>
        <v>0</v>
      </c>
      <c r="AI83" s="31" t="n">
        <f aca="false">($T83+$W83+$Z83)*1440</f>
        <v>0</v>
      </c>
      <c r="AJ83" s="31" t="n">
        <f aca="false">$AI83/60</f>
        <v>0</v>
      </c>
      <c r="AK83" s="31" t="n">
        <f aca="false">(AC83)*1440</f>
        <v>0</v>
      </c>
      <c r="AL83" s="31" t="n">
        <f aca="false">$AK83/60</f>
        <v>0</v>
      </c>
      <c r="AM83" s="31" t="n">
        <f aca="false">($AD83)*1440</f>
        <v>0</v>
      </c>
      <c r="AN83" s="31" t="n">
        <f aca="false">$AM83/60</f>
        <v>0</v>
      </c>
    </row>
    <row r="84" customFormat="false" ht="15" hidden="false" customHeight="true" outlineLevel="0" collapsed="false">
      <c r="A84" s="19"/>
      <c r="B84" s="19"/>
      <c r="C84" s="19"/>
      <c r="D84" s="19"/>
      <c r="E84" s="19"/>
      <c r="F84" s="19"/>
      <c r="G84" s="19"/>
      <c r="H84" s="26"/>
      <c r="I84" s="26"/>
      <c r="J84" s="25"/>
      <c r="K84" s="26"/>
      <c r="L84" s="26"/>
      <c r="M84" s="25"/>
      <c r="N84" s="26"/>
      <c r="O84" s="26"/>
      <c r="P84" s="25"/>
      <c r="Q84" s="25"/>
      <c r="R84" s="28"/>
      <c r="S84" s="28"/>
      <c r="T84" s="27"/>
      <c r="U84" s="28"/>
      <c r="V84" s="28"/>
      <c r="W84" s="27"/>
      <c r="X84" s="28"/>
      <c r="Y84" s="28"/>
      <c r="Z84" s="27"/>
      <c r="AA84" s="27"/>
      <c r="AB84" s="27"/>
      <c r="AC84" s="27"/>
      <c r="AD84" s="30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customFormat="false" ht="15" hidden="false" customHeight="true" outlineLevel="0" collapsed="false">
      <c r="A85" s="19"/>
      <c r="B85" s="19"/>
      <c r="C85" s="19"/>
      <c r="D85" s="19"/>
      <c r="E85" s="19"/>
      <c r="F85" s="19"/>
      <c r="G85" s="19"/>
      <c r="H85" s="26"/>
      <c r="I85" s="26"/>
      <c r="J85" s="25"/>
      <c r="K85" s="26"/>
      <c r="L85" s="26"/>
      <c r="M85" s="25"/>
      <c r="N85" s="26"/>
      <c r="O85" s="26"/>
      <c r="P85" s="25"/>
      <c r="Q85" s="25"/>
      <c r="R85" s="28"/>
      <c r="S85" s="28"/>
      <c r="T85" s="27"/>
      <c r="U85" s="28"/>
      <c r="V85" s="28"/>
      <c r="W85" s="27"/>
      <c r="X85" s="28"/>
      <c r="Y85" s="28"/>
      <c r="Z85" s="27"/>
      <c r="AA85" s="27"/>
      <c r="AB85" s="27"/>
      <c r="AC85" s="27"/>
      <c r="AD85" s="30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customFormat="false" ht="15" hidden="false" customHeight="true" outlineLevel="0" collapsed="false">
      <c r="A86" s="19"/>
      <c r="B86" s="19"/>
      <c r="C86" s="19"/>
      <c r="D86" s="19"/>
      <c r="E86" s="19"/>
      <c r="F86" s="19"/>
      <c r="G86" s="19"/>
      <c r="H86" s="26"/>
      <c r="I86" s="26"/>
      <c r="J86" s="25"/>
      <c r="K86" s="26"/>
      <c r="L86" s="26"/>
      <c r="M86" s="25"/>
      <c r="N86" s="26"/>
      <c r="O86" s="26"/>
      <c r="P86" s="25"/>
      <c r="Q86" s="25"/>
      <c r="R86" s="28"/>
      <c r="S86" s="28"/>
      <c r="T86" s="27"/>
      <c r="U86" s="28"/>
      <c r="V86" s="28"/>
      <c r="W86" s="27"/>
      <c r="X86" s="28"/>
      <c r="Y86" s="28"/>
      <c r="Z86" s="27"/>
      <c r="AA86" s="27"/>
      <c r="AB86" s="27"/>
      <c r="AC86" s="27"/>
      <c r="AD86" s="30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customFormat="false" ht="15" hidden="false" customHeight="true" outlineLevel="0" collapsed="false">
      <c r="A87" s="19" t="str">
        <f aca="false">IF(OR($E87="",$E87="---"),"---",WEEKDAY($E87,2))</f>
        <v>---</v>
      </c>
      <c r="B87" s="21" t="str">
        <f aca="false">IF(OR($E87="",$E87="---"),"---", IF(AND($A87&gt;5,$G87&lt;&gt;"---"),4, IF($G87&lt;&gt;"---",3, IF($A87&gt;5,2, 1))))</f>
        <v>---</v>
      </c>
      <c r="C87" s="22" t="str">
        <f aca="false">IF($B87="---","---",  IF($B87=4,"SVÁTEK + VÍKEND",  IF($B87=3,"SVÁTEK",  IF($B87=2,"VÍKEND",  "PRACOVNÍ DEN"))))</f>
        <v>---</v>
      </c>
      <c r="D87" s="9" t="str">
        <f aca="false">IF(OR($E87="",$E87="---"),"---",WEEKNUM($E87,2))</f>
        <v>---</v>
      </c>
      <c r="E87" s="32" t="str">
        <f aca="false">IF($E83="","---",IF($E83="---","---",IF(MONTH($E83+1)=MONTH($E83),$E83+1,"---")))</f>
        <v>---</v>
      </c>
      <c r="F87" s="21" t="str">
        <f aca="false">IF($E87="","---",IF($E87="---","---",IF($E87&gt;0,CHOOSE(WEEKDAY($E87,2),"Po","Út","St","Čt","Pá","So","Ne"))))</f>
        <v>---</v>
      </c>
      <c r="G87" s="16" t="str">
        <f aca="false">IF($F87="---","---", IF(AND($A$1&lt;&gt;"---",$E87=$A$1-2),"Velký pátek", IF(AND($A$1&lt;&gt;"---",$E87=$A$1+1),"Velikonoční pondělí", IF(AND(DAY($E87)=1, MONTH($E87)=1),"Den obnovy samostatného českého státu / Nový rok", IF(AND(DAY($E87)=1, MONTH($E87)=5),"Svátek práce", IF(AND(DAY($E87)=8, MONTH($E87)=5),"Den vítězství", IF(AND(DAY($E87)=5, MONTH($E87)=7),"Den slovanských věrozvěstů Cyrila a Metoděje", IF(AND(DAY($E87)=6, MONTH($E87)=7),"Den upálení mistra Jana Husa", IF(AND(DAY($E87)=28, MONTH($E87)=9),"Den české státnosti (sv. Václav)", IF(AND(DAY($E87)=28, MONTH($E87)=10),"Den vzniku samostatného československého státu", IF(AND(DAY($E87)=17, MONTH($E87)=11),"Den boje za svobodu a demokracii", IF(AND(DAY($E87)=24, MONTH($E87)=12),"Štědrý den", IF(AND(DAY($E87)=25, MONTH($E87)=12),"1. svátek vánoční", IF(AND(DAY($E87)=26, MONTH($E87)=12),"2. svátek vánoční", "---"))))))))))))))</f>
        <v>---</v>
      </c>
      <c r="H87" s="26"/>
      <c r="I87" s="26"/>
      <c r="J87" s="25" t="n">
        <f aca="false">IF($H87="",0,IF($I87="",0,IF($I87&lt;$H87,"Čas konce je opravdu mensi?",$I87-$H87)))</f>
        <v>0</v>
      </c>
      <c r="K87" s="26"/>
      <c r="L87" s="26"/>
      <c r="M87" s="25" t="n">
        <f aca="false">IF($K87="",0,IF($L87="",0,IF($L87&lt;$K87,"Čas konce je opravdu menší?",$L87-$K87)))</f>
        <v>0</v>
      </c>
      <c r="N87" s="26"/>
      <c r="O87" s="26"/>
      <c r="P87" s="25" t="n">
        <f aca="false">IF($N87="",0,IF($O87="",0,IF($O87&lt;$N87,"Čas konce je opravdu menší?",$O87-$N87)))</f>
        <v>0</v>
      </c>
      <c r="Q87" s="27" t="n">
        <f aca="false">$J87+$M87+$P87</f>
        <v>0</v>
      </c>
      <c r="R87" s="28" t="n">
        <f aca="false">IF(OR($H87="",$I87=""),0, IF($I87&gt;22/24, MAX($H87,22/24), IF($H87&lt;6/24, $H87,0)))</f>
        <v>0</v>
      </c>
      <c r="S87" s="28" t="n">
        <f aca="false">IF(OR($H87="",$I87=""),0,IF($I87&gt;22/24,MIN($I87,1),IF($H87&lt;6/24,MIN($I87,6/24),0)))</f>
        <v>0</v>
      </c>
      <c r="T87" s="27" t="n">
        <f aca="false">IF(OR($H87="",$I87=""),0, 
   MAX(0, MIN($I87,1) - MAX($H87,22/24))
 + MAX(0, MIN($I87,6/24) - MAX($H87,0))
)</f>
        <v>0</v>
      </c>
      <c r="U87" s="28" t="n">
        <f aca="false">IF(OR($K87="",$L87=""),0, IF($L87&gt;22/24, MAX($K87,22/24), IF($K87&lt;6/24, $K87,0)))</f>
        <v>0</v>
      </c>
      <c r="V87" s="28" t="n">
        <f aca="false">IF(OR($K87="",$L87=""),0,IF($L87&gt;22/24,MIN($L87,1),IF($K87&lt;6/24,MIN($L87,6/24),0)))</f>
        <v>0</v>
      </c>
      <c r="W87" s="27" t="n">
        <f aca="false">IF(OR($K87="",$L87=""),0, 
   MAX(0, MIN($L87,1) - MAX($K87,22/24))
 + MAX(0, MIN($L87,6/24) - MAX($K87,0))
)</f>
        <v>0</v>
      </c>
      <c r="X87" s="28" t="n">
        <f aca="false">IF(OR($N87="",$O87=""),0, IF($O87&gt;22/24, MAX($N87,22/24), IF($N87&lt;6/24, $N87,0)))</f>
        <v>0</v>
      </c>
      <c r="Y87" s="28" t="n">
        <f aca="false">IF(OR($N87="",$O87=""),0,IF($O87&gt;22/24,MIN($O87,1),IF($N87&lt;6/24,MIN($O87,6/24),0)))</f>
        <v>0</v>
      </c>
      <c r="Z87" s="27" t="n">
        <f aca="false">IF(OR($N87="",$O87=""),0, 
   MAX(0, MIN($O87,1) - MAX($N87,22/24))
 + MAX(0, MIN($O87,6/24) - MAX($N87,0))
)</f>
        <v>0</v>
      </c>
      <c r="AA87" s="29" t="str">
        <f aca="false">TEXT(INT($AG87/60),"00")  &amp; ":"  &amp; TEXT(MOD($AG87,60),"00")  &amp; ":00"</f>
        <v>00:00:00</v>
      </c>
      <c r="AB87" s="27" t="n">
        <f aca="false">$T87+$W87+$Z87</f>
        <v>0</v>
      </c>
      <c r="AC87" s="27" t="n">
        <f aca="false">IF(OR($F87="So",$F87="Ne"),$Q87,0)</f>
        <v>0</v>
      </c>
      <c r="AD87" s="30" t="n">
        <f aca="false">IF($G87&lt;&gt;"---", $Q87,0)</f>
        <v>0</v>
      </c>
      <c r="AE87" s="31" t="n">
        <f aca="false">($J87*1440) +($M87*1440) +($P87*1440)</f>
        <v>0</v>
      </c>
      <c r="AF87" s="31" t="n">
        <f aca="false">$AE87/60</f>
        <v>0</v>
      </c>
      <c r="AG87" s="31" t="n">
        <f aca="false">IF(OR($B87="", $B87="---"),0,     IF($B87=1,         MAX(0,$AE87 -480),$AE87     ))</f>
        <v>0</v>
      </c>
      <c r="AH87" s="31" t="n">
        <f aca="false">$AG87/60</f>
        <v>0</v>
      </c>
      <c r="AI87" s="31" t="n">
        <f aca="false">($T87+$W87+$Z87)*1440</f>
        <v>0</v>
      </c>
      <c r="AJ87" s="31" t="n">
        <f aca="false">$AI87/60</f>
        <v>0</v>
      </c>
      <c r="AK87" s="31" t="n">
        <f aca="false">(AC87)*1440</f>
        <v>0</v>
      </c>
      <c r="AL87" s="31" t="n">
        <f aca="false">$AK87/60</f>
        <v>0</v>
      </c>
      <c r="AM87" s="31" t="n">
        <f aca="false">($AD87)*1440</f>
        <v>0</v>
      </c>
      <c r="AN87" s="31" t="n">
        <f aca="false">$AM87/60</f>
        <v>0</v>
      </c>
    </row>
    <row r="88" customFormat="false" ht="15" hidden="false" customHeight="true" outlineLevel="0" collapsed="false">
      <c r="A88" s="19"/>
      <c r="B88" s="19"/>
      <c r="C88" s="19"/>
      <c r="D88" s="19"/>
      <c r="E88" s="19"/>
      <c r="F88" s="19"/>
      <c r="G88" s="19"/>
      <c r="H88" s="26"/>
      <c r="I88" s="26"/>
      <c r="J88" s="25"/>
      <c r="K88" s="26"/>
      <c r="L88" s="26"/>
      <c r="M88" s="25"/>
      <c r="N88" s="26"/>
      <c r="O88" s="26"/>
      <c r="P88" s="25"/>
      <c r="Q88" s="25"/>
      <c r="R88" s="28"/>
      <c r="S88" s="28"/>
      <c r="T88" s="27"/>
      <c r="U88" s="28"/>
      <c r="V88" s="28"/>
      <c r="W88" s="27"/>
      <c r="X88" s="28"/>
      <c r="Y88" s="28"/>
      <c r="Z88" s="27"/>
      <c r="AA88" s="27"/>
      <c r="AB88" s="27"/>
      <c r="AC88" s="27"/>
      <c r="AD88" s="30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customFormat="false" ht="15" hidden="false" customHeight="true" outlineLevel="0" collapsed="false">
      <c r="A89" s="19"/>
      <c r="B89" s="19"/>
      <c r="C89" s="19"/>
      <c r="D89" s="19"/>
      <c r="E89" s="19"/>
      <c r="F89" s="19"/>
      <c r="G89" s="19"/>
      <c r="H89" s="26"/>
      <c r="I89" s="26"/>
      <c r="J89" s="25"/>
      <c r="K89" s="26"/>
      <c r="L89" s="26"/>
      <c r="M89" s="25"/>
      <c r="N89" s="26"/>
      <c r="O89" s="26"/>
      <c r="P89" s="25"/>
      <c r="Q89" s="25"/>
      <c r="R89" s="28"/>
      <c r="S89" s="28"/>
      <c r="T89" s="27"/>
      <c r="U89" s="28"/>
      <c r="V89" s="28"/>
      <c r="W89" s="27"/>
      <c r="X89" s="28"/>
      <c r="Y89" s="28"/>
      <c r="Z89" s="27"/>
      <c r="AA89" s="27"/>
      <c r="AB89" s="27"/>
      <c r="AC89" s="27"/>
      <c r="AD89" s="30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customFormat="false" ht="15" hidden="false" customHeight="true" outlineLevel="0" collapsed="false">
      <c r="A90" s="19"/>
      <c r="B90" s="19"/>
      <c r="C90" s="19"/>
      <c r="D90" s="19"/>
      <c r="E90" s="19"/>
      <c r="F90" s="19"/>
      <c r="G90" s="19"/>
      <c r="H90" s="26"/>
      <c r="I90" s="26"/>
      <c r="J90" s="25"/>
      <c r="K90" s="26"/>
      <c r="L90" s="26"/>
      <c r="M90" s="25"/>
      <c r="N90" s="26"/>
      <c r="O90" s="26"/>
      <c r="P90" s="25"/>
      <c r="Q90" s="25"/>
      <c r="R90" s="28"/>
      <c r="S90" s="28"/>
      <c r="T90" s="27"/>
      <c r="U90" s="28"/>
      <c r="V90" s="28"/>
      <c r="W90" s="27"/>
      <c r="X90" s="28"/>
      <c r="Y90" s="28"/>
      <c r="Z90" s="27"/>
      <c r="AA90" s="27"/>
      <c r="AB90" s="27"/>
      <c r="AC90" s="27"/>
      <c r="AD90" s="30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customFormat="false" ht="15" hidden="false" customHeight="true" outlineLevel="0" collapsed="false">
      <c r="A91" s="19" t="str">
        <f aca="false">IF(OR($E91="",$E91="---"),"---",WEEKDAY($E91,2))</f>
        <v>---</v>
      </c>
      <c r="B91" s="21" t="str">
        <f aca="false">IF(OR($E91="",$E91="---"),"---", IF(AND($A91&gt;5,$G91&lt;&gt;"---"),4, IF($G91&lt;&gt;"---",3, IF($A91&gt;5,2, 1))))</f>
        <v>---</v>
      </c>
      <c r="C91" s="22" t="str">
        <f aca="false">IF($B91="---","---",  IF($B91=4,"SVÁTEK + VÍKEND",  IF($B91=3,"SVÁTEK",  IF($B91=2,"VÍKEND",  "PRACOVNÍ DEN"))))</f>
        <v>---</v>
      </c>
      <c r="D91" s="9" t="str">
        <f aca="false">IF(OR($E91="",$E91="---"),"---",WEEKNUM($E91,2))</f>
        <v>---</v>
      </c>
      <c r="E91" s="32" t="str">
        <f aca="false">IF($E87="","---",IF($E87="---","---",IF(MONTH($E87+1)=MONTH($E87),$E87+1,"---")))</f>
        <v>---</v>
      </c>
      <c r="F91" s="21" t="str">
        <f aca="false">IF($E91="","---",IF($E91="---","---",IF($E91&gt;0,CHOOSE(WEEKDAY($E91,2),"Po","Út","St","Čt","Pá","So","Ne"))))</f>
        <v>---</v>
      </c>
      <c r="G91" s="16" t="str">
        <f aca="false">IF($F91="---","---", IF(AND($A$1&lt;&gt;"---",$E91=$A$1-2),"Velký pátek", IF(AND($A$1&lt;&gt;"---",$E91=$A$1+1),"Velikonoční pondělí", IF(AND(DAY($E91)=1, MONTH($E91)=1),"Den obnovy samostatného českého státu / Nový rok", IF(AND(DAY($E91)=1, MONTH($E91)=5),"Svátek práce", IF(AND(DAY($E91)=8, MONTH($E91)=5),"Den vítězství", IF(AND(DAY($E91)=5, MONTH($E91)=7),"Den slovanských věrozvěstů Cyrila a Metoděje", IF(AND(DAY($E91)=6, MONTH($E91)=7),"Den upálení mistra Jana Husa", IF(AND(DAY($E91)=28, MONTH($E91)=9),"Den české státnosti (sv. Václav)", IF(AND(DAY($E91)=28, MONTH($E91)=10),"Den vzniku samostatného československého státu", IF(AND(DAY($E91)=17, MONTH($E91)=11),"Den boje za svobodu a demokracii", IF(AND(DAY($E91)=24, MONTH($E91)=12),"Štědrý den", IF(AND(DAY($E91)=25, MONTH($E91)=12),"1. svátek vánoční", IF(AND(DAY($E91)=26, MONTH($E91)=12),"2. svátek vánoční", "---"))))))))))))))</f>
        <v>---</v>
      </c>
      <c r="H91" s="33"/>
      <c r="I91" s="33"/>
      <c r="J91" s="25" t="n">
        <f aca="false">IF($H91="",0,IF($I91="",0,IF($I91&lt;$H91,"Čas konce je opravdu mensi?",$I91-$H91)))</f>
        <v>0</v>
      </c>
      <c r="K91" s="33"/>
      <c r="L91" s="33"/>
      <c r="M91" s="25" t="n">
        <f aca="false">IF($K91="",0,IF($L91="",0,IF($L91&lt;$K91,"Čas konce je opravdu menší?",$L91-$K91)))</f>
        <v>0</v>
      </c>
      <c r="N91" s="26"/>
      <c r="O91" s="26"/>
      <c r="P91" s="25" t="n">
        <f aca="false">IF($N91="",0,IF($O91="",0,IF($O91&lt;$N91,"Čas konce je opravdu menší?",$O91-$N91)))</f>
        <v>0</v>
      </c>
      <c r="Q91" s="27" t="n">
        <f aca="false">$J91+$M91+$P91</f>
        <v>0</v>
      </c>
      <c r="R91" s="28" t="n">
        <f aca="false">IF(OR($H91="",$I91=""),0, IF($I91&gt;22/24, MAX($H91,22/24), IF($H91&lt;6/24, $H91,0)))</f>
        <v>0</v>
      </c>
      <c r="S91" s="28" t="n">
        <f aca="false">IF(OR($H91="",$I91=""),0,IF($I91&gt;22/24,MIN($I91,1),IF($H91&lt;6/24,MIN($I91,6/24),0)))</f>
        <v>0</v>
      </c>
      <c r="T91" s="27" t="n">
        <f aca="false">IF(OR($H91="",$I91=""),0, 
   MAX(0, MIN($I91,1) - MAX($H91,22/24))
 + MAX(0, MIN($I91,6/24) - MAX($H91,0))
)</f>
        <v>0</v>
      </c>
      <c r="U91" s="28" t="n">
        <f aca="false">IF(OR($K91="",$L91=""),0, IF($L91&gt;22/24, MAX($K91,22/24), IF($K91&lt;6/24, $K91,0)))</f>
        <v>0</v>
      </c>
      <c r="V91" s="28" t="n">
        <f aca="false">IF(OR($K91="",$L91=""),0,IF($L91&gt;22/24,MIN($L91,1),IF($K91&lt;6/24,MIN($L91,6/24),0)))</f>
        <v>0</v>
      </c>
      <c r="W91" s="27" t="n">
        <f aca="false">IF(OR($K91="",$L91=""),0, 
   MAX(0, MIN($L91,1) - MAX($K91,22/24))
 + MAX(0, MIN($L91,6/24) - MAX($K91,0))
)</f>
        <v>0</v>
      </c>
      <c r="X91" s="28" t="n">
        <f aca="false">IF(OR($N91="",$O91=""),0, IF($O91&gt;22/24, MAX($N91,22/24), IF($N91&lt;6/24, $N91,0)))</f>
        <v>0</v>
      </c>
      <c r="Y91" s="28" t="n">
        <f aca="false">IF(OR($N91="",$O91=""),0,IF($O91&gt;22/24,MIN($O91,1),IF($N91&lt;6/24,MIN($O91,6/24),0)))</f>
        <v>0</v>
      </c>
      <c r="Z91" s="27" t="n">
        <f aca="false">IF(OR($N91="",$O91=""),0, 
   MAX(0, MIN($O91,1) - MAX($N91,22/24))
 + MAX(0, MIN($O91,6/24) - MAX($N91,0))
)</f>
        <v>0</v>
      </c>
      <c r="AA91" s="29" t="str">
        <f aca="false">TEXT(INT($AG91/60),"00")  &amp; ":"  &amp; TEXT(MOD($AG91,60),"00")  &amp; ":00"</f>
        <v>00:00:00</v>
      </c>
      <c r="AB91" s="27" t="n">
        <f aca="false">$T91+$W91+$Z91</f>
        <v>0</v>
      </c>
      <c r="AC91" s="27" t="n">
        <f aca="false">IF(OR($F91="So",$F91="Ne"),$Q91,0)</f>
        <v>0</v>
      </c>
      <c r="AD91" s="30" t="n">
        <f aca="false">IF($G91&lt;&gt;"---", $Q91,0)</f>
        <v>0</v>
      </c>
      <c r="AE91" s="31" t="n">
        <f aca="false">($J91*1440) +($M91*1440) +($P91*1440)</f>
        <v>0</v>
      </c>
      <c r="AF91" s="31" t="n">
        <f aca="false">$AE91/60</f>
        <v>0</v>
      </c>
      <c r="AG91" s="31" t="n">
        <f aca="false">IF(OR($B91="", $B91="---"),0,     IF($B91=1,         MAX(0,$AE91 -480),$AE91     ))</f>
        <v>0</v>
      </c>
      <c r="AH91" s="31" t="n">
        <f aca="false">$AG91/60</f>
        <v>0</v>
      </c>
      <c r="AI91" s="31" t="n">
        <f aca="false">($T91+$W91+$Z91)*1440</f>
        <v>0</v>
      </c>
      <c r="AJ91" s="31" t="n">
        <f aca="false">$AI91/60</f>
        <v>0</v>
      </c>
      <c r="AK91" s="31" t="n">
        <f aca="false">(AC91)*1440</f>
        <v>0</v>
      </c>
      <c r="AL91" s="31" t="n">
        <f aca="false">$AK91/60</f>
        <v>0</v>
      </c>
      <c r="AM91" s="31" t="n">
        <f aca="false">($AD91)*1440</f>
        <v>0</v>
      </c>
      <c r="AN91" s="31" t="n">
        <f aca="false">$AM91/60</f>
        <v>0</v>
      </c>
    </row>
    <row r="92" customFormat="false" ht="15" hidden="false" customHeight="true" outlineLevel="0" collapsed="false">
      <c r="A92" s="19"/>
      <c r="B92" s="19"/>
      <c r="C92" s="19"/>
      <c r="D92" s="19"/>
      <c r="E92" s="19"/>
      <c r="F92" s="19"/>
      <c r="G92" s="19"/>
      <c r="H92" s="33"/>
      <c r="I92" s="33"/>
      <c r="J92" s="25"/>
      <c r="K92" s="33"/>
      <c r="L92" s="33"/>
      <c r="M92" s="25"/>
      <c r="N92" s="26"/>
      <c r="O92" s="26"/>
      <c r="P92" s="25"/>
      <c r="Q92" s="25"/>
      <c r="R92" s="28"/>
      <c r="S92" s="28"/>
      <c r="T92" s="27"/>
      <c r="U92" s="28"/>
      <c r="V92" s="28"/>
      <c r="W92" s="27"/>
      <c r="X92" s="28"/>
      <c r="Y92" s="28"/>
      <c r="Z92" s="27"/>
      <c r="AA92" s="27"/>
      <c r="AB92" s="27"/>
      <c r="AC92" s="27"/>
      <c r="AD92" s="30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customFormat="false" ht="15" hidden="false" customHeight="true" outlineLevel="0" collapsed="false">
      <c r="A93" s="19"/>
      <c r="B93" s="19"/>
      <c r="C93" s="19"/>
      <c r="D93" s="19"/>
      <c r="E93" s="19"/>
      <c r="F93" s="19"/>
      <c r="G93" s="19"/>
      <c r="H93" s="33"/>
      <c r="I93" s="33"/>
      <c r="J93" s="25"/>
      <c r="K93" s="33"/>
      <c r="L93" s="33"/>
      <c r="M93" s="25"/>
      <c r="N93" s="26"/>
      <c r="O93" s="26"/>
      <c r="P93" s="25"/>
      <c r="Q93" s="25"/>
      <c r="R93" s="28"/>
      <c r="S93" s="28"/>
      <c r="T93" s="27"/>
      <c r="U93" s="28"/>
      <c r="V93" s="28"/>
      <c r="W93" s="27"/>
      <c r="X93" s="28"/>
      <c r="Y93" s="28"/>
      <c r="Z93" s="27"/>
      <c r="AA93" s="27"/>
      <c r="AB93" s="27"/>
      <c r="AC93" s="27"/>
      <c r="AD93" s="30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customFormat="false" ht="15" hidden="false" customHeight="true" outlineLevel="0" collapsed="false">
      <c r="A94" s="19"/>
      <c r="B94" s="19"/>
      <c r="C94" s="19"/>
      <c r="D94" s="19"/>
      <c r="E94" s="19"/>
      <c r="F94" s="19"/>
      <c r="G94" s="19"/>
      <c r="H94" s="33"/>
      <c r="I94" s="33"/>
      <c r="J94" s="25"/>
      <c r="K94" s="33"/>
      <c r="L94" s="33"/>
      <c r="M94" s="25"/>
      <c r="N94" s="26"/>
      <c r="O94" s="26"/>
      <c r="P94" s="25"/>
      <c r="Q94" s="25"/>
      <c r="R94" s="28"/>
      <c r="S94" s="28"/>
      <c r="T94" s="27"/>
      <c r="U94" s="28"/>
      <c r="V94" s="28"/>
      <c r="W94" s="27"/>
      <c r="X94" s="28"/>
      <c r="Y94" s="28"/>
      <c r="Z94" s="27"/>
      <c r="AA94" s="27"/>
      <c r="AB94" s="27"/>
      <c r="AC94" s="27"/>
      <c r="AD94" s="30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customFormat="false" ht="15" hidden="false" customHeight="true" outlineLevel="0" collapsed="false">
      <c r="A95" s="19" t="str">
        <f aca="false">IF(OR($E95="",$E95="---"),"---",WEEKDAY($E95,2))</f>
        <v>---</v>
      </c>
      <c r="B95" s="21" t="str">
        <f aca="false">IF(OR($E95="",$E95="---"),"---", IF(AND($A95&gt;5,$G95&lt;&gt;"---"),4, IF($G95&lt;&gt;"---",3, IF($A95&gt;5,2, 1))))</f>
        <v>---</v>
      </c>
      <c r="C95" s="22" t="str">
        <f aca="false">IF($B95="---","---",  IF($B95=4,"SVÁTEK + VÍKEND",  IF($B95=3,"SVÁTEK",  IF($B95=2,"VÍKEND",  "PRACOVNÍ DEN"))))</f>
        <v>---</v>
      </c>
      <c r="D95" s="9" t="str">
        <f aca="false">IF(OR($E95="",$E95="---"),"---",WEEKNUM($E95,2))</f>
        <v>---</v>
      </c>
      <c r="E95" s="32" t="str">
        <f aca="false">IF($E91="","---",IF($E91="---","---",IF(MONTH($E91+1)=MONTH($E91),$E91+1,"---")))</f>
        <v>---</v>
      </c>
      <c r="F95" s="21" t="str">
        <f aca="false">IF($E95="","---",IF($E95="---","---",IF($E95&gt;0,CHOOSE(WEEKDAY($E95,2),"Po","Út","St","Čt","Pá","So","Ne"))))</f>
        <v>---</v>
      </c>
      <c r="G95" s="16" t="str">
        <f aca="false">IF($F95="---","---", IF(AND($A$1&lt;&gt;"---",$E95=$A$1-2),"Velký pátek", IF(AND($A$1&lt;&gt;"---",$E95=$A$1+1),"Velikonoční pondělí", IF(AND(DAY($E95)=1, MONTH($E95)=1),"Den obnovy samostatného českého státu / Nový rok", IF(AND(DAY($E95)=1, MONTH($E95)=5),"Svátek práce", IF(AND(DAY($E95)=8, MONTH($E95)=5),"Den vítězství", IF(AND(DAY($E95)=5, MONTH($E95)=7),"Den slovanských věrozvěstů Cyrila a Metoděje", IF(AND(DAY($E95)=6, MONTH($E95)=7),"Den upálení mistra Jana Husa", IF(AND(DAY($E95)=28, MONTH($E95)=9),"Den české státnosti (sv. Václav)", IF(AND(DAY($E95)=28, MONTH($E95)=10),"Den vzniku samostatného československého státu", IF(AND(DAY($E95)=17, MONTH($E95)=11),"Den boje za svobodu a demokracii", IF(AND(DAY($E95)=24, MONTH($E95)=12),"Štědrý den", IF(AND(DAY($E95)=25, MONTH($E95)=12),"1. svátek vánoční", IF(AND(DAY($E95)=26, MONTH($E95)=12),"2. svátek vánoční", "---"))))))))))))))</f>
        <v>---</v>
      </c>
      <c r="H95" s="26"/>
      <c r="I95" s="26"/>
      <c r="J95" s="25" t="n">
        <f aca="false">IF($H95="",0,IF($I95="",0,IF($I95&lt;$H95,"Čas konce je opravdu mensi?",$I95-$H95)))</f>
        <v>0</v>
      </c>
      <c r="K95" s="33"/>
      <c r="L95" s="33"/>
      <c r="M95" s="25" t="n">
        <f aca="false">IF($K95="",0,IF($L95="",0,IF($L95&lt;$K95,"Čas konce je opravdu menší?",$L95-$K95)))</f>
        <v>0</v>
      </c>
      <c r="N95" s="26"/>
      <c r="O95" s="26"/>
      <c r="P95" s="25" t="n">
        <f aca="false">IF($N95="",0,IF($O95="",0,IF($O95&lt;$N95,"Čas konce je opravdu menší?",$O95-$N95)))</f>
        <v>0</v>
      </c>
      <c r="Q95" s="27" t="n">
        <f aca="false">$J95+$M95+$P95</f>
        <v>0</v>
      </c>
      <c r="R95" s="28" t="n">
        <f aca="false">IF(OR($H95="",$I95=""),0, IF($I95&gt;22/24, MAX($H95,22/24), IF($H95&lt;6/24, $H95,0)))</f>
        <v>0</v>
      </c>
      <c r="S95" s="28" t="n">
        <f aca="false">IF(OR($H95="",$I95=""),0,IF($I95&gt;22/24,MIN($I95,1),IF($H95&lt;6/24,MIN($I95,6/24),0)))</f>
        <v>0</v>
      </c>
      <c r="T95" s="27" t="n">
        <f aca="false">IF(OR($H95="",$I95=""),0, 
   MAX(0, MIN($I95,1) - MAX($H95,22/24))
 + MAX(0, MIN($I95,6/24) - MAX($H95,0))
)</f>
        <v>0</v>
      </c>
      <c r="U95" s="28" t="n">
        <f aca="false">IF(OR($K95="",$L95=""),0, IF($L95&gt;22/24, MAX($K95,22/24), IF($K95&lt;6/24, $K95,0)))</f>
        <v>0</v>
      </c>
      <c r="V95" s="28" t="n">
        <f aca="false">IF(OR($K95="",$L95=""),0,IF($L95&gt;22/24,MIN($L95,1),IF($K95&lt;6/24,MIN($L95,6/24),0)))</f>
        <v>0</v>
      </c>
      <c r="W95" s="27" t="n">
        <f aca="false">IF(OR($K95="",$L95=""),0, 
   MAX(0, MIN($L95,1) - MAX($K95,22/24))
 + MAX(0, MIN($L95,6/24) - MAX($K95,0))
)</f>
        <v>0</v>
      </c>
      <c r="X95" s="28" t="n">
        <f aca="false">IF(OR($N95="",$O95=""),0, IF($O95&gt;22/24, MAX($N95,22/24), IF($N95&lt;6/24, $N95,0)))</f>
        <v>0</v>
      </c>
      <c r="Y95" s="28" t="n">
        <f aca="false">IF(OR($N95="",$O95=""),0,IF($O95&gt;22/24,MIN($O95,1),IF($N95&lt;6/24,MIN($O95,6/24),0)))</f>
        <v>0</v>
      </c>
      <c r="Z95" s="27" t="n">
        <f aca="false">IF(OR($N95="",$O95=""),0, 
   MAX(0, MIN($O95,1) - MAX($N95,22/24))
 + MAX(0, MIN($O95,6/24) - MAX($N95,0))
)</f>
        <v>0</v>
      </c>
      <c r="AA95" s="29" t="str">
        <f aca="false">TEXT(INT($AG95/60),"00")  &amp; ":"  &amp; TEXT(MOD($AG95,60),"00")  &amp; ":00"</f>
        <v>00:00:00</v>
      </c>
      <c r="AB95" s="27" t="n">
        <f aca="false">$T95+$W95+$Z95</f>
        <v>0</v>
      </c>
      <c r="AC95" s="27" t="n">
        <f aca="false">IF(OR($F95="So",$F95="Ne"),$Q95,0)</f>
        <v>0</v>
      </c>
      <c r="AD95" s="30" t="n">
        <f aca="false">IF($G95&lt;&gt;"---", $Q95,0)</f>
        <v>0</v>
      </c>
      <c r="AE95" s="31" t="n">
        <f aca="false">($J95*1440) +($M95*1440) +($P95*1440)</f>
        <v>0</v>
      </c>
      <c r="AF95" s="31" t="n">
        <f aca="false">$AE95/60</f>
        <v>0</v>
      </c>
      <c r="AG95" s="31" t="n">
        <f aca="false">IF(OR($B95="", $B95="---"),0,     IF($B95=1,         MAX(0,$AE95 -480),$AE95     ))</f>
        <v>0</v>
      </c>
      <c r="AH95" s="31" t="n">
        <f aca="false">$AG95/60</f>
        <v>0</v>
      </c>
      <c r="AI95" s="31" t="n">
        <f aca="false">($T95+$W95+$Z95)*1440</f>
        <v>0</v>
      </c>
      <c r="AJ95" s="31" t="n">
        <f aca="false">$AI95/60</f>
        <v>0</v>
      </c>
      <c r="AK95" s="31" t="n">
        <f aca="false">(AC95)*1440</f>
        <v>0</v>
      </c>
      <c r="AL95" s="31" t="n">
        <f aca="false">$AK95/60</f>
        <v>0</v>
      </c>
      <c r="AM95" s="31" t="n">
        <f aca="false">($AD95)*1440</f>
        <v>0</v>
      </c>
      <c r="AN95" s="31" t="n">
        <f aca="false">$AM95/60</f>
        <v>0</v>
      </c>
    </row>
    <row r="96" customFormat="false" ht="15" hidden="false" customHeight="true" outlineLevel="0" collapsed="false">
      <c r="A96" s="19"/>
      <c r="B96" s="19"/>
      <c r="C96" s="19"/>
      <c r="D96" s="19"/>
      <c r="E96" s="19"/>
      <c r="F96" s="19"/>
      <c r="G96" s="19"/>
      <c r="H96" s="26"/>
      <c r="I96" s="26"/>
      <c r="J96" s="25"/>
      <c r="K96" s="33"/>
      <c r="L96" s="33"/>
      <c r="M96" s="25"/>
      <c r="N96" s="26"/>
      <c r="O96" s="26"/>
      <c r="P96" s="25"/>
      <c r="Q96" s="25"/>
      <c r="R96" s="28"/>
      <c r="S96" s="28"/>
      <c r="T96" s="27"/>
      <c r="U96" s="28"/>
      <c r="V96" s="28"/>
      <c r="W96" s="27"/>
      <c r="X96" s="28"/>
      <c r="Y96" s="28"/>
      <c r="Z96" s="27"/>
      <c r="AA96" s="27"/>
      <c r="AB96" s="27"/>
      <c r="AC96" s="27"/>
      <c r="AD96" s="30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customFormat="false" ht="15" hidden="false" customHeight="true" outlineLevel="0" collapsed="false">
      <c r="A97" s="19"/>
      <c r="B97" s="19"/>
      <c r="C97" s="19"/>
      <c r="D97" s="19"/>
      <c r="E97" s="19"/>
      <c r="F97" s="19"/>
      <c r="G97" s="19"/>
      <c r="H97" s="26"/>
      <c r="I97" s="26"/>
      <c r="J97" s="25"/>
      <c r="K97" s="33"/>
      <c r="L97" s="33"/>
      <c r="M97" s="25"/>
      <c r="N97" s="26"/>
      <c r="O97" s="26"/>
      <c r="P97" s="25"/>
      <c r="Q97" s="25"/>
      <c r="R97" s="28"/>
      <c r="S97" s="28"/>
      <c r="T97" s="27"/>
      <c r="U97" s="28"/>
      <c r="V97" s="28"/>
      <c r="W97" s="27"/>
      <c r="X97" s="28"/>
      <c r="Y97" s="28"/>
      <c r="Z97" s="27"/>
      <c r="AA97" s="27"/>
      <c r="AB97" s="27"/>
      <c r="AC97" s="27"/>
      <c r="AD97" s="30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customFormat="false" ht="15" hidden="false" customHeight="true" outlineLevel="0" collapsed="false">
      <c r="A98" s="19"/>
      <c r="B98" s="19"/>
      <c r="C98" s="19"/>
      <c r="D98" s="19"/>
      <c r="E98" s="19"/>
      <c r="F98" s="19"/>
      <c r="G98" s="19"/>
      <c r="H98" s="26"/>
      <c r="I98" s="26"/>
      <c r="J98" s="25"/>
      <c r="K98" s="33"/>
      <c r="L98" s="33"/>
      <c r="M98" s="25"/>
      <c r="N98" s="26"/>
      <c r="O98" s="26"/>
      <c r="P98" s="25"/>
      <c r="Q98" s="25"/>
      <c r="R98" s="28"/>
      <c r="S98" s="28"/>
      <c r="T98" s="27"/>
      <c r="U98" s="28"/>
      <c r="V98" s="28"/>
      <c r="W98" s="27"/>
      <c r="X98" s="28"/>
      <c r="Y98" s="28"/>
      <c r="Z98" s="27"/>
      <c r="AA98" s="27"/>
      <c r="AB98" s="27"/>
      <c r="AC98" s="27"/>
      <c r="AD98" s="30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customFormat="false" ht="15" hidden="false" customHeight="true" outlineLevel="0" collapsed="false">
      <c r="A99" s="19" t="str">
        <f aca="false">IF(OR($E99="",$E99="---"),"---",WEEKDAY($E99,2))</f>
        <v>---</v>
      </c>
      <c r="B99" s="21" t="str">
        <f aca="false">IF(OR($E99="",$E99="---"),"---", IF(AND($A99&gt;5,$G99&lt;&gt;"---"),4, IF($G99&lt;&gt;"---",3, IF($A99&gt;5,2, 1))))</f>
        <v>---</v>
      </c>
      <c r="C99" s="22" t="str">
        <f aca="false">IF($B99="---","---",  IF($B99=4,"SVÁTEK + VÍKEND",  IF($B99=3,"SVÁTEK",  IF($B99=2,"VÍKEND",  "PRACOVNÍ DEN"))))</f>
        <v>---</v>
      </c>
      <c r="D99" s="9" t="str">
        <f aca="false">IF(OR($E99="",$E99="---"),"---",WEEKNUM($E99,2))</f>
        <v>---</v>
      </c>
      <c r="E99" s="32" t="str">
        <f aca="false">IF($E95="","---",IF($E95="---","---",IF(MONTH($E95+1)=MONTH($E95),$E95+1,"---")))</f>
        <v>---</v>
      </c>
      <c r="F99" s="21" t="str">
        <f aca="false">IF($E99="","---",IF($E99="---","---",IF($E99&gt;0,CHOOSE(WEEKDAY($E99,2),"Po","Út","St","Čt","Pá","So","Ne"))))</f>
        <v>---</v>
      </c>
      <c r="G99" s="16" t="str">
        <f aca="false">IF($F99="---","---", IF(AND($A$1&lt;&gt;"---",$E99=$A$1-2),"Velký pátek", IF(AND($A$1&lt;&gt;"---",$E99=$A$1+1),"Velikonoční pondělí", IF(AND(DAY($E99)=1, MONTH($E99)=1),"Den obnovy samostatného českého státu / Nový rok", IF(AND(DAY($E99)=1, MONTH($E99)=5),"Svátek práce", IF(AND(DAY($E99)=8, MONTH($E99)=5),"Den vítězství", IF(AND(DAY($E99)=5, MONTH($E99)=7),"Den slovanských věrozvěstů Cyrila a Metoděje", IF(AND(DAY($E99)=6, MONTH($E99)=7),"Den upálení mistra Jana Husa", IF(AND(DAY($E99)=28, MONTH($E99)=9),"Den české státnosti (sv. Václav)", IF(AND(DAY($E99)=28, MONTH($E99)=10),"Den vzniku samostatného československého státu", IF(AND(DAY($E99)=17, MONTH($E99)=11),"Den boje za svobodu a demokracii", IF(AND(DAY($E99)=24, MONTH($E99)=12),"Štědrý den", IF(AND(DAY($E99)=25, MONTH($E99)=12),"1. svátek vánoční", IF(AND(DAY($E99)=26, MONTH($E99)=12),"2. svátek vánoční", "---"))))))))))))))</f>
        <v>---</v>
      </c>
      <c r="H99" s="26"/>
      <c r="I99" s="34"/>
      <c r="J99" s="25" t="n">
        <f aca="false">IF($H99="",0,IF($I99="",0,IF($I99&lt;$H99,"Čas konce je opravdu mensi?",$I99-$H99)))</f>
        <v>0</v>
      </c>
      <c r="K99" s="33"/>
      <c r="L99" s="33"/>
      <c r="M99" s="25" t="n">
        <f aca="false">IF($K99="",0,IF($L99="",0,IF($L99&lt;$K99,"Čas konce je opravdu menší?",$L99-$K99)))</f>
        <v>0</v>
      </c>
      <c r="N99" s="26"/>
      <c r="O99" s="26"/>
      <c r="P99" s="25" t="n">
        <f aca="false">IF($N99="",0,IF($O99="",0,IF($O99&lt;$N99,"Čas konce je opravdu menší?",$O99-$N99)))</f>
        <v>0</v>
      </c>
      <c r="Q99" s="27" t="n">
        <f aca="false">$J99+$M99+$P99</f>
        <v>0</v>
      </c>
      <c r="R99" s="28" t="n">
        <f aca="false">IF(OR($H99="",$I99=""),0, IF($I99&gt;22/24, MAX($H99,22/24), IF($H99&lt;6/24, $H99,0)))</f>
        <v>0</v>
      </c>
      <c r="S99" s="28" t="n">
        <f aca="false">IF(OR($H99="",$I99=""),0,IF($I99&gt;22/24,MIN($I99,1),IF($H99&lt;6/24,MIN($I99,6/24),0)))</f>
        <v>0</v>
      </c>
      <c r="T99" s="27" t="n">
        <f aca="false">IF(OR($H99="",$I99=""),0, 
   MAX(0, MIN($I99,1) - MAX($H99,22/24))
 + MAX(0, MIN($I99,6/24) - MAX($H99,0))
)</f>
        <v>0</v>
      </c>
      <c r="U99" s="28" t="n">
        <f aca="false">IF(OR($K99="",$L99=""),0, IF($L99&gt;22/24, MAX($K99,22/24), IF($K99&lt;6/24, $K99,0)))</f>
        <v>0</v>
      </c>
      <c r="V99" s="28" t="n">
        <f aca="false">IF(OR($K99="",$L99=""),0,IF($L99&gt;22/24,MIN($L99,1),IF($K99&lt;6/24,MIN($L99,6/24),0)))</f>
        <v>0</v>
      </c>
      <c r="W99" s="27" t="n">
        <f aca="false">IF(OR($K99="",$L99=""),0, 
   MAX(0, MIN($L99,1) - MAX($K99,22/24))
 + MAX(0, MIN($L99,6/24) - MAX($K99,0))
)</f>
        <v>0</v>
      </c>
      <c r="X99" s="28" t="n">
        <f aca="false">IF(OR($N99="",$O99=""),0, IF($O99&gt;22/24, MAX($N99,22/24), IF($N99&lt;6/24, $N99,0)))</f>
        <v>0</v>
      </c>
      <c r="Y99" s="28" t="n">
        <f aca="false">IF(OR($N99="",$O99=""),0,IF($O99&gt;22/24,MIN($O99,1),IF($N99&lt;6/24,MIN($O99,6/24),0)))</f>
        <v>0</v>
      </c>
      <c r="Z99" s="27" t="n">
        <f aca="false">IF(OR($N99="",$O99=""),0, 
   MAX(0, MIN($O99,1) - MAX($N99,22/24))
 + MAX(0, MIN($O99,6/24) - MAX($N99,0))
)</f>
        <v>0</v>
      </c>
      <c r="AA99" s="29" t="str">
        <f aca="false">TEXT(INT($AG99/60),"00")  &amp; ":"  &amp; TEXT(MOD($AG99,60),"00")  &amp; ":00"</f>
        <v>00:00:00</v>
      </c>
      <c r="AB99" s="27" t="n">
        <f aca="false">$T99+$W99+$Z99</f>
        <v>0</v>
      </c>
      <c r="AC99" s="27" t="n">
        <f aca="false">IF(OR($F99="So",$F99="Ne"),$Q99,0)</f>
        <v>0</v>
      </c>
      <c r="AD99" s="30" t="n">
        <f aca="false">IF($G99&lt;&gt;"---", $Q99,0)</f>
        <v>0</v>
      </c>
      <c r="AE99" s="31" t="n">
        <f aca="false">($J99*1440) +($M99*1440) +($P99*1440)</f>
        <v>0</v>
      </c>
      <c r="AF99" s="31" t="n">
        <f aca="false">$AE99/60</f>
        <v>0</v>
      </c>
      <c r="AG99" s="31" t="n">
        <f aca="false">IF(OR($B99="", $B99="---"),0,     IF($B99=1,         MAX(0,$AE99 -480),$AE99     ))</f>
        <v>0</v>
      </c>
      <c r="AH99" s="31" t="n">
        <f aca="false">$AG99/60</f>
        <v>0</v>
      </c>
      <c r="AI99" s="31" t="n">
        <f aca="false">($T99+$W99+$Z99)*1440</f>
        <v>0</v>
      </c>
      <c r="AJ99" s="31" t="n">
        <f aca="false">$AI99/60</f>
        <v>0</v>
      </c>
      <c r="AK99" s="31" t="n">
        <f aca="false">(AC99)*1440</f>
        <v>0</v>
      </c>
      <c r="AL99" s="31" t="n">
        <f aca="false">$AK99/60</f>
        <v>0</v>
      </c>
      <c r="AM99" s="31" t="n">
        <f aca="false">($AD99)*1440</f>
        <v>0</v>
      </c>
      <c r="AN99" s="31" t="n">
        <f aca="false">$AM99/60</f>
        <v>0</v>
      </c>
    </row>
    <row r="100" customFormat="false" ht="1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26"/>
      <c r="I100" s="26"/>
      <c r="J100" s="25"/>
      <c r="K100" s="33"/>
      <c r="L100" s="33"/>
      <c r="M100" s="25"/>
      <c r="N100" s="26"/>
      <c r="O100" s="26"/>
      <c r="P100" s="25"/>
      <c r="Q100" s="25"/>
      <c r="R100" s="28"/>
      <c r="S100" s="28"/>
      <c r="T100" s="27"/>
      <c r="U100" s="28"/>
      <c r="V100" s="28"/>
      <c r="W100" s="27"/>
      <c r="X100" s="28"/>
      <c r="Y100" s="28"/>
      <c r="Z100" s="27"/>
      <c r="AA100" s="27"/>
      <c r="AB100" s="27"/>
      <c r="AC100" s="27"/>
      <c r="AD100" s="30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customFormat="false" ht="1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26"/>
      <c r="I101" s="26"/>
      <c r="J101" s="25"/>
      <c r="K101" s="33"/>
      <c r="L101" s="33"/>
      <c r="M101" s="25"/>
      <c r="N101" s="26"/>
      <c r="O101" s="26"/>
      <c r="P101" s="25"/>
      <c r="Q101" s="25"/>
      <c r="R101" s="28"/>
      <c r="S101" s="28"/>
      <c r="T101" s="27"/>
      <c r="U101" s="28"/>
      <c r="V101" s="28"/>
      <c r="W101" s="27"/>
      <c r="X101" s="28"/>
      <c r="Y101" s="28"/>
      <c r="Z101" s="27"/>
      <c r="AA101" s="27"/>
      <c r="AB101" s="27"/>
      <c r="AC101" s="27"/>
      <c r="AD101" s="30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customFormat="false" ht="1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26"/>
      <c r="I102" s="26"/>
      <c r="J102" s="25"/>
      <c r="K102" s="33"/>
      <c r="L102" s="33"/>
      <c r="M102" s="25"/>
      <c r="N102" s="26"/>
      <c r="O102" s="26"/>
      <c r="P102" s="25"/>
      <c r="Q102" s="25"/>
      <c r="R102" s="28"/>
      <c r="S102" s="28"/>
      <c r="T102" s="27"/>
      <c r="U102" s="28"/>
      <c r="V102" s="28"/>
      <c r="W102" s="27"/>
      <c r="X102" s="28"/>
      <c r="Y102" s="28"/>
      <c r="Z102" s="27"/>
      <c r="AA102" s="27"/>
      <c r="AB102" s="27"/>
      <c r="AC102" s="27"/>
      <c r="AD102" s="30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customFormat="false" ht="15" hidden="false" customHeight="true" outlineLevel="0" collapsed="false">
      <c r="A103" s="19" t="str">
        <f aca="false">IF(OR($E103="",$E103="---"),"---",WEEKDAY($E103,2))</f>
        <v>---</v>
      </c>
      <c r="B103" s="21" t="str">
        <f aca="false">IF(OR($E103="",$E103="---"),"---", IF(AND($A103&gt;5,$G103&lt;&gt;"---"),4, IF($G103&lt;&gt;"---",3, IF($A103&gt;5,2, 1))))</f>
        <v>---</v>
      </c>
      <c r="C103" s="22" t="str">
        <f aca="false">IF($B103="---","---",  IF($B103=4,"SVÁTEK + VÍKEND",  IF($B103=3,"SVÁTEK",  IF($B103=2,"VÍKEND",  "PRACOVNÍ DEN"))))</f>
        <v>---</v>
      </c>
      <c r="D103" s="9" t="str">
        <f aca="false">IF(OR($E103="",$E103="---"),"---",WEEKNUM($E103,2))</f>
        <v>---</v>
      </c>
      <c r="E103" s="32" t="str">
        <f aca="false">IF($E99="","---",IF($E99="---","---",IF(MONTH($E99+1)=MONTH($E99),$E99+1,"---")))</f>
        <v>---</v>
      </c>
      <c r="F103" s="21" t="str">
        <f aca="false">IF($E103="","---",IF($E103="---","---",IF($E103&gt;0,CHOOSE(WEEKDAY($E103,2),"Po","Út","St","Čt","Pá","So","Ne"))))</f>
        <v>---</v>
      </c>
      <c r="G103" s="16" t="str">
        <f aca="false">IF($F103="---","---", IF(AND($A$1&lt;&gt;"---",$E103=$A$1-2),"Velký pátek", IF(AND($A$1&lt;&gt;"---",$E103=$A$1+1),"Velikonoční pondělí", IF(AND(DAY($E103)=1, MONTH($E103)=1),"Den obnovy samostatného českého státu / Nový rok", IF(AND(DAY($E103)=1, MONTH($E103)=5),"Svátek práce", IF(AND(DAY($E103)=8, MONTH($E103)=5),"Den vítězství", IF(AND(DAY($E103)=5, MONTH($E103)=7),"Den slovanských věrozvěstů Cyrila a Metoděje", IF(AND(DAY($E103)=6, MONTH($E103)=7),"Den upálení mistra Jana Husa", IF(AND(DAY($E103)=28, MONTH($E103)=9),"Den české státnosti (sv. Václav)", IF(AND(DAY($E103)=28, MONTH($E103)=10),"Den vzniku samostatného československého státu", IF(AND(DAY($E103)=17, MONTH($E103)=11),"Den boje za svobodu a demokracii", IF(AND(DAY($E103)=24, MONTH($E103)=12),"Štědrý den", IF(AND(DAY($E103)=25, MONTH($E103)=12),"1. svátek vánoční", IF(AND(DAY($E103)=26, MONTH($E103)=12),"2. svátek vánoční", "---"))))))))))))))</f>
        <v>---</v>
      </c>
      <c r="H103" s="26"/>
      <c r="I103" s="26"/>
      <c r="J103" s="25" t="n">
        <f aca="false">IF($H103="",0,IF($I103="",0,IF($I103&lt;$H103,"Čas konce je opravdu mensi?",$I103-$H103)))</f>
        <v>0</v>
      </c>
      <c r="K103" s="26"/>
      <c r="L103" s="34"/>
      <c r="M103" s="25" t="n">
        <f aca="false">IF($K103="",0,IF($L103="",0,IF($L103&lt;$K103,"Čas konce je opravdu menší?",$L103-$K103)))</f>
        <v>0</v>
      </c>
      <c r="N103" s="26"/>
      <c r="O103" s="26"/>
      <c r="P103" s="25" t="n">
        <f aca="false">IF($N103="",0,IF($O103="",0,IF($O103&lt;$N103,"Čas konce je opravdu menší?",$O103-$N103)))</f>
        <v>0</v>
      </c>
      <c r="Q103" s="27" t="n">
        <f aca="false">$J103+$M103+$P103</f>
        <v>0</v>
      </c>
      <c r="R103" s="28" t="n">
        <f aca="false">IF(OR($H103="",$I103=""),0, IF($I103&gt;22/24, MAX($H103,22/24), IF($H103&lt;6/24, $H103,0)))</f>
        <v>0</v>
      </c>
      <c r="S103" s="28" t="n">
        <f aca="false">IF(OR($H103="",$I103=""),0,IF($I103&gt;22/24,MIN($I103,1),IF($H103&lt;6/24,MIN($I103,6/24),0)))</f>
        <v>0</v>
      </c>
      <c r="T103" s="27" t="n">
        <f aca="false">IF(OR($H103="",$I103=""),0, 
   MAX(0, MIN($I103,1) - MAX($H103,22/24))
 + MAX(0, MIN($I103,6/24) - MAX($H103,0))
)</f>
        <v>0</v>
      </c>
      <c r="U103" s="28" t="n">
        <f aca="false">IF(OR($K103="",$L103=""),0, IF($L103&gt;22/24, MAX($K103,22/24), IF($K103&lt;6/24, $K103,0)))</f>
        <v>0</v>
      </c>
      <c r="V103" s="28" t="n">
        <f aca="false">IF(OR($K103="",$L103=""),0,IF($L103&gt;22/24,MIN($L103,1),IF($K103&lt;6/24,MIN($L103,6/24),0)))</f>
        <v>0</v>
      </c>
      <c r="W103" s="27" t="n">
        <f aca="false">IF(OR($K103="",$L103=""),0, 
   MAX(0, MIN($L103,1) - MAX($K103,22/24))
 + MAX(0, MIN($L103,6/24) - MAX($K103,0))
)</f>
        <v>0</v>
      </c>
      <c r="X103" s="28" t="n">
        <f aca="false">IF(OR($N103="",$O103=""),0, IF($O103&gt;22/24, MAX($N103,22/24), IF($N103&lt;6/24, $N103,0)))</f>
        <v>0</v>
      </c>
      <c r="Y103" s="28" t="n">
        <f aca="false">IF(OR($N103="",$O103=""),0,IF($O103&gt;22/24,MIN($O103,1),IF($N103&lt;6/24,MIN($O103,6/24),0)))</f>
        <v>0</v>
      </c>
      <c r="Z103" s="27" t="n">
        <f aca="false">IF(OR($N103="",$O103=""),0, 
   MAX(0, MIN($O103,1) - MAX($N103,22/24))
 + MAX(0, MIN($O103,6/24) - MAX($N103,0))
)</f>
        <v>0</v>
      </c>
      <c r="AA103" s="29" t="str">
        <f aca="false">TEXT(INT($AG103/60),"00")  &amp; ":"  &amp; TEXT(MOD($AG103,60),"00")  &amp; ":00"</f>
        <v>00:00:00</v>
      </c>
      <c r="AB103" s="27" t="n">
        <f aca="false">$T103+$W103+$Z103</f>
        <v>0</v>
      </c>
      <c r="AC103" s="27" t="n">
        <f aca="false">IF(OR($F103="So",$F103="Ne"),$Q103,0)</f>
        <v>0</v>
      </c>
      <c r="AD103" s="30" t="n">
        <f aca="false">IF($G103&lt;&gt;"---", $Q103,0)</f>
        <v>0</v>
      </c>
      <c r="AE103" s="31" t="n">
        <f aca="false">($J103*1440) +($M103*1440) +($P103*1440)</f>
        <v>0</v>
      </c>
      <c r="AF103" s="31" t="n">
        <f aca="false">$AE103/60</f>
        <v>0</v>
      </c>
      <c r="AG103" s="31" t="n">
        <f aca="false">IF(OR($B103="", $B103="---"),0,     IF($B103=1,         MAX(0,$AE103 -480),$AE103     ))</f>
        <v>0</v>
      </c>
      <c r="AH103" s="31" t="n">
        <f aca="false">$AG103/60</f>
        <v>0</v>
      </c>
      <c r="AI103" s="31" t="n">
        <f aca="false">($T103+$W103+$Z103)*1440</f>
        <v>0</v>
      </c>
      <c r="AJ103" s="31" t="n">
        <f aca="false">$AI103/60</f>
        <v>0</v>
      </c>
      <c r="AK103" s="31" t="n">
        <f aca="false">(AC103)*1440</f>
        <v>0</v>
      </c>
      <c r="AL103" s="31" t="n">
        <f aca="false">$AK103/60</f>
        <v>0</v>
      </c>
      <c r="AM103" s="31" t="n">
        <f aca="false">($AD103)*1440</f>
        <v>0</v>
      </c>
      <c r="AN103" s="31" t="n">
        <f aca="false">$AM103/60</f>
        <v>0</v>
      </c>
    </row>
    <row r="104" customFormat="false" ht="1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26"/>
      <c r="I104" s="26"/>
      <c r="J104" s="25"/>
      <c r="K104" s="26"/>
      <c r="L104" s="26"/>
      <c r="M104" s="25"/>
      <c r="N104" s="26"/>
      <c r="O104" s="26"/>
      <c r="P104" s="25"/>
      <c r="Q104" s="25"/>
      <c r="R104" s="28"/>
      <c r="S104" s="28"/>
      <c r="T104" s="27"/>
      <c r="U104" s="28"/>
      <c r="V104" s="28"/>
      <c r="W104" s="27"/>
      <c r="X104" s="28"/>
      <c r="Y104" s="28"/>
      <c r="Z104" s="27"/>
      <c r="AA104" s="27"/>
      <c r="AB104" s="27"/>
      <c r="AC104" s="27"/>
      <c r="AD104" s="30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customFormat="false" ht="1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26"/>
      <c r="I105" s="26"/>
      <c r="J105" s="25"/>
      <c r="K105" s="26"/>
      <c r="L105" s="26"/>
      <c r="M105" s="25"/>
      <c r="N105" s="26"/>
      <c r="O105" s="26"/>
      <c r="P105" s="25"/>
      <c r="Q105" s="25"/>
      <c r="R105" s="28"/>
      <c r="S105" s="28"/>
      <c r="T105" s="27"/>
      <c r="U105" s="28"/>
      <c r="V105" s="28"/>
      <c r="W105" s="27"/>
      <c r="X105" s="28"/>
      <c r="Y105" s="28"/>
      <c r="Z105" s="27"/>
      <c r="AA105" s="27"/>
      <c r="AB105" s="27"/>
      <c r="AC105" s="27"/>
      <c r="AD105" s="30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customFormat="false" ht="1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26"/>
      <c r="I106" s="26"/>
      <c r="J106" s="25"/>
      <c r="K106" s="26"/>
      <c r="L106" s="26"/>
      <c r="M106" s="25"/>
      <c r="N106" s="26"/>
      <c r="O106" s="26"/>
      <c r="P106" s="25"/>
      <c r="Q106" s="25"/>
      <c r="R106" s="28"/>
      <c r="S106" s="28"/>
      <c r="T106" s="27"/>
      <c r="U106" s="28"/>
      <c r="V106" s="28"/>
      <c r="W106" s="27"/>
      <c r="X106" s="28"/>
      <c r="Y106" s="28"/>
      <c r="Z106" s="27"/>
      <c r="AA106" s="27"/>
      <c r="AB106" s="27"/>
      <c r="AC106" s="27"/>
      <c r="AD106" s="30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customFormat="false" ht="15" hidden="false" customHeight="true" outlineLevel="0" collapsed="false">
      <c r="A107" s="19" t="str">
        <f aca="false">IF(OR($E107="",$E107="---"),"---",WEEKDAY($E107,2))</f>
        <v>---</v>
      </c>
      <c r="B107" s="21" t="str">
        <f aca="false">IF(OR($E107="",$E107="---"),"---", IF(AND($A107&gt;5,$G107&lt;&gt;"---"),4, IF($G107&lt;&gt;"---",3, IF($A107&gt;5,2, 1))))</f>
        <v>---</v>
      </c>
      <c r="C107" s="22" t="str">
        <f aca="false">IF($B107="---","---",  IF($B107=4,"SVÁTEK + VÍKEND",  IF($B107=3,"SVÁTEK",  IF($B107=2,"VÍKEND",  "PRACOVNÍ DEN"))))</f>
        <v>---</v>
      </c>
      <c r="D107" s="9" t="str">
        <f aca="false">IF(OR($E107="",$E107="---"),"---",WEEKNUM($E107,2))</f>
        <v>---</v>
      </c>
      <c r="E107" s="32" t="str">
        <f aca="false">IF($E103="","---",IF($E103="---","---",IF(MONTH($E103+1)=MONTH($E103),$E103+1,"---")))</f>
        <v>---</v>
      </c>
      <c r="F107" s="21" t="str">
        <f aca="false">IF($E107="","---",IF($E107="---","---",IF($E107&gt;0,CHOOSE(WEEKDAY($E107,2),"Po","Út","St","Čt","Pá","So","Ne"))))</f>
        <v>---</v>
      </c>
      <c r="G107" s="16" t="str">
        <f aca="false">IF($F107="---","---", IF(AND($A$1&lt;&gt;"---",$E107=$A$1-2),"Velký pátek", IF(AND($A$1&lt;&gt;"---",$E107=$A$1+1),"Velikonoční pondělí", IF(AND(DAY($E107)=1, MONTH($E107)=1),"Den obnovy samostatného českého státu / Nový rok", IF(AND(DAY($E107)=1, MONTH($E107)=5),"Svátek práce", IF(AND(DAY($E107)=8, MONTH($E107)=5),"Den vítězství", IF(AND(DAY($E107)=5, MONTH($E107)=7),"Den slovanských věrozvěstů Cyrila a Metoděje", IF(AND(DAY($E107)=6, MONTH($E107)=7),"Den upálení mistra Jana Husa", IF(AND(DAY($E107)=28, MONTH($E107)=9),"Den české státnosti (sv. Václav)", IF(AND(DAY($E107)=28, MONTH($E107)=10),"Den vzniku samostatného československého státu", IF(AND(DAY($E107)=17, MONTH($E107)=11),"Den boje za svobodu a demokracii", IF(AND(DAY($E107)=24, MONTH($E107)=12),"Štědrý den", IF(AND(DAY($E107)=25, MONTH($E107)=12),"1. svátek vánoční", IF(AND(DAY($E107)=26, MONTH($E107)=12),"2. svátek vánoční", "---"))))))))))))))</f>
        <v>---</v>
      </c>
      <c r="H107" s="26"/>
      <c r="I107" s="26"/>
      <c r="J107" s="25" t="n">
        <f aca="false">IF($H107="",0,IF($I107="",0,IF($I107&lt;$H107,"Čas konce je opravdu mensi?",$I107-$H107)))</f>
        <v>0</v>
      </c>
      <c r="K107" s="26"/>
      <c r="L107" s="34"/>
      <c r="M107" s="25" t="n">
        <f aca="false">IF($K107="",0,IF($L107="",0,IF($L107&lt;$K107,"Čas konce je opravdu menší?",$L107-$K107)))</f>
        <v>0</v>
      </c>
      <c r="N107" s="26"/>
      <c r="O107" s="26"/>
      <c r="P107" s="25" t="n">
        <f aca="false">IF($N107="",0,IF($O107="",0,IF($O107&lt;$N107,"Čas konce je opravdu menší?",$O107-$N107)))</f>
        <v>0</v>
      </c>
      <c r="Q107" s="27" t="n">
        <f aca="false">$J107+$M107+$P107</f>
        <v>0</v>
      </c>
      <c r="R107" s="28" t="n">
        <f aca="false">IF(OR($H107="",$I107=""),0, IF($I107&gt;22/24, MAX($H107,22/24), IF($H107&lt;6/24, $H107,0)))</f>
        <v>0</v>
      </c>
      <c r="S107" s="28" t="n">
        <f aca="false">IF(OR($H107="",$I107=""),0,IF($I107&gt;22/24,MIN($I107,1),IF($H107&lt;6/24,MIN($I107,6/24),0)))</f>
        <v>0</v>
      </c>
      <c r="T107" s="27" t="n">
        <f aca="false">IF(OR($H107="",$I107=""),0, 
   MAX(0, MIN($I107,1) - MAX($H107,22/24))
 + MAX(0, MIN($I107,6/24) - MAX($H107,0))
)</f>
        <v>0</v>
      </c>
      <c r="U107" s="28" t="n">
        <f aca="false">IF(OR($K107="",$L107=""),0, IF($L107&gt;22/24, MAX($K107,22/24), IF($K107&lt;6/24, $K107,0)))</f>
        <v>0</v>
      </c>
      <c r="V107" s="28" t="n">
        <f aca="false">IF(OR($K107="",$L107=""),0,IF($L107&gt;22/24,MIN($L107,1),IF($K107&lt;6/24,MIN($L107,6/24),0)))</f>
        <v>0</v>
      </c>
      <c r="W107" s="27" t="n">
        <f aca="false">IF(OR($K107="",$L107=""),0, 
   MAX(0, MIN($L107,1) - MAX($K107,22/24))
 + MAX(0, MIN($L107,6/24) - MAX($K107,0))
)</f>
        <v>0</v>
      </c>
      <c r="X107" s="28" t="n">
        <f aca="false">IF(OR($N107="",$O107=""),0, IF($O107&gt;22/24, MAX($N107,22/24), IF($N107&lt;6/24, $N107,0)))</f>
        <v>0</v>
      </c>
      <c r="Y107" s="28" t="n">
        <f aca="false">IF(OR($N107="",$O107=""),0,IF($O107&gt;22/24,MIN($O107,1),IF($N107&lt;6/24,MIN($O107,6/24),0)))</f>
        <v>0</v>
      </c>
      <c r="Z107" s="27" t="n">
        <f aca="false">IF(OR($N107="",$O107=""),0, 
   MAX(0, MIN($O107,1) - MAX($N107,22/24))
 + MAX(0, MIN($O107,6/24) - MAX($N107,0))
)</f>
        <v>0</v>
      </c>
      <c r="AA107" s="29" t="str">
        <f aca="false">TEXT(INT($AG107/60),"00")  &amp; ":"  &amp; TEXT(MOD($AG107,60),"00")  &amp; ":00"</f>
        <v>00:00:00</v>
      </c>
      <c r="AB107" s="27" t="n">
        <f aca="false">$T107+$W107+$Z107</f>
        <v>0</v>
      </c>
      <c r="AC107" s="27" t="n">
        <f aca="false">IF(OR($F107="So",$F107="Ne"),$Q107,0)</f>
        <v>0</v>
      </c>
      <c r="AD107" s="30" t="n">
        <f aca="false">IF($G107&lt;&gt;"---", $Q107,0)</f>
        <v>0</v>
      </c>
      <c r="AE107" s="31" t="n">
        <f aca="false">($J107*1440) +($M107*1440) +($P107*1440)</f>
        <v>0</v>
      </c>
      <c r="AF107" s="31" t="n">
        <f aca="false">$AE107/60</f>
        <v>0</v>
      </c>
      <c r="AG107" s="31" t="n">
        <f aca="false">IF(OR($B107="", $B107="---"),0,     IF($B107=1,         MAX(0,$AE107 -480),$AE107     ))</f>
        <v>0</v>
      </c>
      <c r="AH107" s="31" t="n">
        <f aca="false">$AG107/60</f>
        <v>0</v>
      </c>
      <c r="AI107" s="31" t="n">
        <f aca="false">($T107+$W107+$Z107)*1440</f>
        <v>0</v>
      </c>
      <c r="AJ107" s="31" t="n">
        <f aca="false">$AI107/60</f>
        <v>0</v>
      </c>
      <c r="AK107" s="31" t="n">
        <f aca="false">(AC107)*1440</f>
        <v>0</v>
      </c>
      <c r="AL107" s="31" t="n">
        <f aca="false">$AK107/60</f>
        <v>0</v>
      </c>
      <c r="AM107" s="31" t="n">
        <f aca="false">($AD107)*1440</f>
        <v>0</v>
      </c>
      <c r="AN107" s="31" t="n">
        <f aca="false">$AM107/60</f>
        <v>0</v>
      </c>
    </row>
    <row r="108" customFormat="false" ht="1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26"/>
      <c r="I108" s="26"/>
      <c r="J108" s="25"/>
      <c r="K108" s="26"/>
      <c r="L108" s="26"/>
      <c r="M108" s="25"/>
      <c r="N108" s="26"/>
      <c r="O108" s="26"/>
      <c r="P108" s="25"/>
      <c r="Q108" s="25"/>
      <c r="R108" s="28"/>
      <c r="S108" s="28"/>
      <c r="T108" s="27"/>
      <c r="U108" s="28"/>
      <c r="V108" s="28"/>
      <c r="W108" s="27"/>
      <c r="X108" s="28"/>
      <c r="Y108" s="28"/>
      <c r="Z108" s="27"/>
      <c r="AA108" s="27"/>
      <c r="AB108" s="27"/>
      <c r="AC108" s="27"/>
      <c r="AD108" s="30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customFormat="false" ht="1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26"/>
      <c r="I109" s="26"/>
      <c r="J109" s="25"/>
      <c r="K109" s="26"/>
      <c r="L109" s="26"/>
      <c r="M109" s="25"/>
      <c r="N109" s="26"/>
      <c r="O109" s="26"/>
      <c r="P109" s="25"/>
      <c r="Q109" s="25"/>
      <c r="R109" s="28"/>
      <c r="S109" s="28"/>
      <c r="T109" s="27"/>
      <c r="U109" s="28"/>
      <c r="V109" s="28"/>
      <c r="W109" s="27"/>
      <c r="X109" s="28"/>
      <c r="Y109" s="28"/>
      <c r="Z109" s="27"/>
      <c r="AA109" s="27"/>
      <c r="AB109" s="27"/>
      <c r="AC109" s="27"/>
      <c r="AD109" s="30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customFormat="false" ht="1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26"/>
      <c r="I110" s="26"/>
      <c r="J110" s="25"/>
      <c r="K110" s="26"/>
      <c r="L110" s="26"/>
      <c r="M110" s="25"/>
      <c r="N110" s="26"/>
      <c r="O110" s="26"/>
      <c r="P110" s="25"/>
      <c r="Q110" s="25"/>
      <c r="R110" s="28"/>
      <c r="S110" s="28"/>
      <c r="T110" s="27"/>
      <c r="U110" s="28"/>
      <c r="V110" s="28"/>
      <c r="W110" s="27"/>
      <c r="X110" s="28"/>
      <c r="Y110" s="28"/>
      <c r="Z110" s="27"/>
      <c r="AA110" s="27"/>
      <c r="AB110" s="27"/>
      <c r="AC110" s="27"/>
      <c r="AD110" s="30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customFormat="false" ht="15" hidden="false" customHeight="true" outlineLevel="0" collapsed="false">
      <c r="A111" s="19" t="str">
        <f aca="false">IF(OR($E111="",$E111="---"),"---",WEEKDAY($E111,2))</f>
        <v>---</v>
      </c>
      <c r="B111" s="21" t="str">
        <f aca="false">IF(OR($E111="",$E111="---"),"---", IF(AND($A111&gt;5,$G111&lt;&gt;"---"),4, IF($G111&lt;&gt;"---",3, IF($A111&gt;5,2, 1))))</f>
        <v>---</v>
      </c>
      <c r="C111" s="22" t="str">
        <f aca="false">IF($B111="---","---",  IF($B111=4,"SVÁTEK + VÍKEND",  IF($B111=3,"SVÁTEK",  IF($B111=2,"VÍKEND",  "PRACOVNÍ DEN"))))</f>
        <v>---</v>
      </c>
      <c r="D111" s="9" t="str">
        <f aca="false">IF(OR($E111="",$E111="---"),"---",WEEKNUM($E111,2))</f>
        <v>---</v>
      </c>
      <c r="E111" s="32" t="str">
        <f aca="false">IF($E107="","---",IF($E107="---","---",IF(MONTH($E107+1)=MONTH($E107),$E107+1,"---")))</f>
        <v>---</v>
      </c>
      <c r="F111" s="21" t="str">
        <f aca="false">IF($E111="","---",IF($E111="---","---",IF($E111&gt;0,CHOOSE(WEEKDAY($E111,2),"Po","Út","St","Čt","Pá","So","Ne"))))</f>
        <v>---</v>
      </c>
      <c r="G111" s="16" t="str">
        <f aca="false">IF($F111="---","---", IF(AND($A$1&lt;&gt;"---",$E111=$A$1-2),"Velký pátek", IF(AND($A$1&lt;&gt;"---",$E111=$A$1+1),"Velikonoční pondělí", IF(AND(DAY($E111)=1, MONTH($E111)=1),"Den obnovy samostatného českého státu / Nový rok", IF(AND(DAY($E111)=1, MONTH($E111)=5),"Svátek práce", IF(AND(DAY($E111)=8, MONTH($E111)=5),"Den vítězství", IF(AND(DAY($E111)=5, MONTH($E111)=7),"Den slovanských věrozvěstů Cyrila a Metoděje", IF(AND(DAY($E111)=6, MONTH($E111)=7),"Den upálení mistra Jana Husa", IF(AND(DAY($E111)=28, MONTH($E111)=9),"Den české státnosti (sv. Václav)", IF(AND(DAY($E111)=28, MONTH($E111)=10),"Den vzniku samostatného československého státu", IF(AND(DAY($E111)=17, MONTH($E111)=11),"Den boje za svobodu a demokracii", IF(AND(DAY($E111)=24, MONTH($E111)=12),"Štědrý den", IF(AND(DAY($E111)=25, MONTH($E111)=12),"1. svátek vánoční", IF(AND(DAY($E111)=26, MONTH($E111)=12),"2. svátek vánoční", "---"))))))))))))))</f>
        <v>---</v>
      </c>
      <c r="H111" s="26"/>
      <c r="I111" s="26"/>
      <c r="J111" s="25" t="n">
        <f aca="false">IF($H111="",0,IF($I111="",0,IF($I111&lt;$H111,"Čas konce je opravdu mensi?",$I111-$H111)))</f>
        <v>0</v>
      </c>
      <c r="K111" s="26"/>
      <c r="L111" s="34"/>
      <c r="M111" s="25" t="n">
        <f aca="false">IF($K111="",0,IF($L111="",0,IF($L111&lt;$K111,"Čas konce je opravdu menší?",$L111-$K111)))</f>
        <v>0</v>
      </c>
      <c r="N111" s="26"/>
      <c r="O111" s="26"/>
      <c r="P111" s="25" t="n">
        <f aca="false">IF($N111="",0,IF($O111="",0,IF($O111&lt;$N111,"Čas konce je opravdu menší?",$O111-$N111)))</f>
        <v>0</v>
      </c>
      <c r="Q111" s="27" t="n">
        <f aca="false">$J111+$M111+$P111</f>
        <v>0</v>
      </c>
      <c r="R111" s="28" t="n">
        <f aca="false">IF(OR($H111="",$I111=""),0, IF($I111&gt;22/24, MAX($H111,22/24), IF($H111&lt;6/24, $H111,0)))</f>
        <v>0</v>
      </c>
      <c r="S111" s="28" t="n">
        <f aca="false">IF(OR($H111="",$I111=""),0,IF($I111&gt;22/24,MIN($I111,1),IF($H111&lt;6/24,MIN($I111,6/24),0)))</f>
        <v>0</v>
      </c>
      <c r="T111" s="27" t="n">
        <f aca="false">IF(OR($H111="",$I111=""),0, 
   MAX(0, MIN($I111,1) - MAX($H111,22/24))
 + MAX(0, MIN($I111,6/24) - MAX($H111,0))
)</f>
        <v>0</v>
      </c>
      <c r="U111" s="28" t="n">
        <f aca="false">IF(OR($K111="",$L111=""),0, IF($L111&gt;22/24, MAX($K111,22/24), IF($K111&lt;6/24, $K111,0)))</f>
        <v>0</v>
      </c>
      <c r="V111" s="28" t="n">
        <f aca="false">IF(OR($K111="",$L111=""),0,IF($L111&gt;22/24,MIN($L111,1),IF($K111&lt;6/24,MIN($L111,6/24),0)))</f>
        <v>0</v>
      </c>
      <c r="W111" s="27" t="n">
        <f aca="false">IF(OR($K111="",$L111=""),0, 
   MAX(0, MIN($L111,1) - MAX($K111,22/24))
 + MAX(0, MIN($L111,6/24) - MAX($K111,0))
)</f>
        <v>0</v>
      </c>
      <c r="X111" s="28" t="n">
        <f aca="false">IF(OR($N111="",$O111=""),0, IF($O111&gt;22/24, MAX($N111,22/24), IF($N111&lt;6/24, $N111,0)))</f>
        <v>0</v>
      </c>
      <c r="Y111" s="28" t="n">
        <f aca="false">IF(OR($N111="",$O111=""),0,IF($O111&gt;22/24,MIN($O111,1),IF($N111&lt;6/24,MIN($O111,6/24),0)))</f>
        <v>0</v>
      </c>
      <c r="Z111" s="27" t="n">
        <f aca="false">IF(OR($N111="",$O111=""),0, 
   MAX(0, MIN($O111,1) - MAX($N111,22/24))
 + MAX(0, MIN($O111,6/24) - MAX($N111,0))
)</f>
        <v>0</v>
      </c>
      <c r="AA111" s="29" t="str">
        <f aca="false">TEXT(INT($AG111/60),"00")  &amp; ":"  &amp; TEXT(MOD($AG111,60),"00")  &amp; ":00"</f>
        <v>00:00:00</v>
      </c>
      <c r="AB111" s="27" t="n">
        <f aca="false">$T111+$W111+$Z111</f>
        <v>0</v>
      </c>
      <c r="AC111" s="27" t="n">
        <f aca="false">IF(OR($F111="So",$F111="Ne"),$Q111,0)</f>
        <v>0</v>
      </c>
      <c r="AD111" s="30" t="n">
        <f aca="false">IF($G111&lt;&gt;"---", $Q111,0)</f>
        <v>0</v>
      </c>
      <c r="AE111" s="31" t="n">
        <f aca="false">($J111*1440) +($M111*1440) +($P111*1440)</f>
        <v>0</v>
      </c>
      <c r="AF111" s="31" t="n">
        <f aca="false">$AE111/60</f>
        <v>0</v>
      </c>
      <c r="AG111" s="31" t="n">
        <f aca="false">IF(OR($B111="", $B111="---"),0,     IF($B111=1,         MAX(0,$AE111 -480),$AE111     ))</f>
        <v>0</v>
      </c>
      <c r="AH111" s="31" t="n">
        <f aca="false">$AG111/60</f>
        <v>0</v>
      </c>
      <c r="AI111" s="31" t="n">
        <f aca="false">($T111+$W111+$Z111)*1440</f>
        <v>0</v>
      </c>
      <c r="AJ111" s="31" t="n">
        <f aca="false">$AI111/60</f>
        <v>0</v>
      </c>
      <c r="AK111" s="31" t="n">
        <f aca="false">(AC111)*1440</f>
        <v>0</v>
      </c>
      <c r="AL111" s="31" t="n">
        <f aca="false">$AK111/60</f>
        <v>0</v>
      </c>
      <c r="AM111" s="31" t="n">
        <f aca="false">($AD111)*1440</f>
        <v>0</v>
      </c>
      <c r="AN111" s="31" t="n">
        <f aca="false">$AM111/60</f>
        <v>0</v>
      </c>
    </row>
    <row r="112" customFormat="false" ht="1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26"/>
      <c r="I112" s="26"/>
      <c r="J112" s="25"/>
      <c r="K112" s="26"/>
      <c r="L112" s="26"/>
      <c r="M112" s="25"/>
      <c r="N112" s="26"/>
      <c r="O112" s="26"/>
      <c r="P112" s="25"/>
      <c r="Q112" s="25"/>
      <c r="R112" s="28"/>
      <c r="S112" s="28"/>
      <c r="T112" s="27"/>
      <c r="U112" s="28"/>
      <c r="V112" s="28"/>
      <c r="W112" s="27"/>
      <c r="X112" s="28"/>
      <c r="Y112" s="28"/>
      <c r="Z112" s="27"/>
      <c r="AA112" s="27"/>
      <c r="AB112" s="27"/>
      <c r="AC112" s="27"/>
      <c r="AD112" s="30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customFormat="false" ht="1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26"/>
      <c r="I113" s="26"/>
      <c r="J113" s="25"/>
      <c r="K113" s="26"/>
      <c r="L113" s="26"/>
      <c r="M113" s="25"/>
      <c r="N113" s="26"/>
      <c r="O113" s="26"/>
      <c r="P113" s="25"/>
      <c r="Q113" s="25"/>
      <c r="R113" s="28"/>
      <c r="S113" s="28"/>
      <c r="T113" s="27"/>
      <c r="U113" s="28"/>
      <c r="V113" s="28"/>
      <c r="W113" s="27"/>
      <c r="X113" s="28"/>
      <c r="Y113" s="28"/>
      <c r="Z113" s="27"/>
      <c r="AA113" s="27"/>
      <c r="AB113" s="27"/>
      <c r="AC113" s="27"/>
      <c r="AD113" s="30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customFormat="false" ht="1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26"/>
      <c r="I114" s="26"/>
      <c r="J114" s="25"/>
      <c r="K114" s="26"/>
      <c r="L114" s="26"/>
      <c r="M114" s="25"/>
      <c r="N114" s="26"/>
      <c r="O114" s="26"/>
      <c r="P114" s="25"/>
      <c r="Q114" s="25"/>
      <c r="R114" s="28"/>
      <c r="S114" s="28"/>
      <c r="T114" s="27"/>
      <c r="U114" s="28"/>
      <c r="V114" s="28"/>
      <c r="W114" s="27"/>
      <c r="X114" s="28"/>
      <c r="Y114" s="28"/>
      <c r="Z114" s="27"/>
      <c r="AA114" s="27"/>
      <c r="AB114" s="27"/>
      <c r="AC114" s="27"/>
      <c r="AD114" s="30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customFormat="false" ht="15" hidden="false" customHeight="true" outlineLevel="0" collapsed="false">
      <c r="A115" s="19" t="str">
        <f aca="false">IF(OR($E115="",$E115="---"),"---",WEEKDAY($E115,2))</f>
        <v>---</v>
      </c>
      <c r="B115" s="21" t="str">
        <f aca="false">IF(OR($E115="",$E115="---"),"---", IF(AND($A115&gt;5,$G115&lt;&gt;"---"),4, IF($G115&lt;&gt;"---",3, IF($A115&gt;5,2, 1))))</f>
        <v>---</v>
      </c>
      <c r="C115" s="22" t="str">
        <f aca="false">IF($B115="---","---",  IF($B115=4,"SVÁTEK + VÍKEND",  IF($B115=3,"SVÁTEK",  IF($B115=2,"VÍKEND",  "PRACOVNÍ DEN"))))</f>
        <v>---</v>
      </c>
      <c r="D115" s="9" t="str">
        <f aca="false">IF(OR($E115="",$E115="---"),"---",WEEKNUM($E115,2))</f>
        <v>---</v>
      </c>
      <c r="E115" s="32" t="str">
        <f aca="false">IF($E111="","---",IF($E111="---","---",IF(MONTH($E111+1)=MONTH($E111),$E111+1,"---")))</f>
        <v>---</v>
      </c>
      <c r="F115" s="21" t="str">
        <f aca="false">IF($E115="","---",IF($E115="---","---",IF($E115&gt;0,CHOOSE(WEEKDAY($E115,2),"Po","Út","St","Čt","Pá","So","Ne"))))</f>
        <v>---</v>
      </c>
      <c r="G115" s="16" t="str">
        <f aca="false">IF($F115="---","---", IF(AND($A$1&lt;&gt;"---",$E115=$A$1-2),"Velký pátek", IF(AND($A$1&lt;&gt;"---",$E115=$A$1+1),"Velikonoční pondělí", IF(AND(DAY($E115)=1, MONTH($E115)=1),"Den obnovy samostatného českého státu / Nový rok", IF(AND(DAY($E115)=1, MONTH($E115)=5),"Svátek práce", IF(AND(DAY($E115)=8, MONTH($E115)=5),"Den vítězství", IF(AND(DAY($E115)=5, MONTH($E115)=7),"Den slovanských věrozvěstů Cyrila a Metoděje", IF(AND(DAY($E115)=6, MONTH($E115)=7),"Den upálení mistra Jana Husa", IF(AND(DAY($E115)=28, MONTH($E115)=9),"Den české státnosti (sv. Václav)", IF(AND(DAY($E115)=28, MONTH($E115)=10),"Den vzniku samostatného československého státu", IF(AND(DAY($E115)=17, MONTH($E115)=11),"Den boje za svobodu a demokracii", IF(AND(DAY($E115)=24, MONTH($E115)=12),"Štědrý den", IF(AND(DAY($E115)=25, MONTH($E115)=12),"1. svátek vánoční", IF(AND(DAY($E115)=26, MONTH($E115)=12),"2. svátek vánoční", "---"))))))))))))))</f>
        <v>---</v>
      </c>
      <c r="H115" s="26"/>
      <c r="I115" s="26"/>
      <c r="J115" s="25" t="n">
        <f aca="false">IF($H115="",0,IF($I115="",0,IF($I115&lt;$H115,"Čas konce je opravdu mensi?",$I115-$H115)))</f>
        <v>0</v>
      </c>
      <c r="K115" s="26"/>
      <c r="L115" s="34"/>
      <c r="M115" s="25" t="n">
        <f aca="false">IF($K115="",0,IF($L115="",0,IF($L115&lt;$K115,"Čas konce je opravdu menší?",$L115-$K115)))</f>
        <v>0</v>
      </c>
      <c r="N115" s="26"/>
      <c r="O115" s="26"/>
      <c r="P115" s="25" t="n">
        <f aca="false">IF($N115="",0,IF($O115="",0,IF($O115&lt;$N115,"Čas konce je opravdu menší?",$O115-$N115)))</f>
        <v>0</v>
      </c>
      <c r="Q115" s="27" t="n">
        <f aca="false">$J115+$M115+$P115</f>
        <v>0</v>
      </c>
      <c r="R115" s="28" t="n">
        <f aca="false">IF(OR($H115="",$I115=""),0, IF($I115&gt;22/24, MAX($H115,22/24), IF($H115&lt;6/24, $H115,0)))</f>
        <v>0</v>
      </c>
      <c r="S115" s="28" t="n">
        <f aca="false">IF(OR($H115="",$I115=""),0,IF($I115&gt;22/24,MIN($I115,1),IF($H115&lt;6/24,MIN($I115,6/24),0)))</f>
        <v>0</v>
      </c>
      <c r="T115" s="27" t="n">
        <f aca="false">IF(OR($H115="",$I115=""),0, 
   MAX(0, MIN($I115,1) - MAX($H115,22/24))
 + MAX(0, MIN($I115,6/24) - MAX($H115,0))
)</f>
        <v>0</v>
      </c>
      <c r="U115" s="28" t="n">
        <f aca="false">IF(OR($K115="",$L115=""),0, IF($L115&gt;22/24, MAX($K115,22/24), IF($K115&lt;6/24, $K115,0)))</f>
        <v>0</v>
      </c>
      <c r="V115" s="28" t="n">
        <f aca="false">IF(OR($K115="",$L115=""),0,IF($L115&gt;22/24,MIN($L115,1),IF($K115&lt;6/24,MIN($L115,6/24),0)))</f>
        <v>0</v>
      </c>
      <c r="W115" s="27" t="n">
        <f aca="false">IF(OR($K115="",$L115=""),0, 
   MAX(0, MIN($L115,1) - MAX($K115,22/24))
 + MAX(0, MIN($L115,6/24) - MAX($K115,0))
)</f>
        <v>0</v>
      </c>
      <c r="X115" s="28" t="n">
        <f aca="false">IF(OR($N115="",$O115=""),0, IF($O115&gt;22/24, MAX($N115,22/24), IF($N115&lt;6/24, $N115,0)))</f>
        <v>0</v>
      </c>
      <c r="Y115" s="28" t="n">
        <f aca="false">IF(OR($N115="",$O115=""),0,IF($O115&gt;22/24,MIN($O115,1),IF($N115&lt;6/24,MIN($O115,6/24),0)))</f>
        <v>0</v>
      </c>
      <c r="Z115" s="27" t="n">
        <f aca="false">IF(OR($N115="",$O115=""),0, 
   MAX(0, MIN($O115,1) - MAX($N115,22/24))
 + MAX(0, MIN($O115,6/24) - MAX($N115,0))
)</f>
        <v>0</v>
      </c>
      <c r="AA115" s="29" t="str">
        <f aca="false">TEXT(INT($AG115/60),"00")  &amp; ":"  &amp; TEXT(MOD($AG115,60),"00")  &amp; ":00"</f>
        <v>00:00:00</v>
      </c>
      <c r="AB115" s="27" t="n">
        <f aca="false">$T115+$W115+$Z115</f>
        <v>0</v>
      </c>
      <c r="AC115" s="27" t="n">
        <f aca="false">IF(OR($F115="So",$F115="Ne"),$Q115,0)</f>
        <v>0</v>
      </c>
      <c r="AD115" s="30" t="n">
        <f aca="false">IF($G115&lt;&gt;"---", $Q115,0)</f>
        <v>0</v>
      </c>
      <c r="AE115" s="31" t="n">
        <f aca="false">($J115*1440) +($M115*1440) +($P115*1440)</f>
        <v>0</v>
      </c>
      <c r="AF115" s="31" t="n">
        <f aca="false">$AE115/60</f>
        <v>0</v>
      </c>
      <c r="AG115" s="31" t="n">
        <f aca="false">IF(OR($B115="", $B115="---"),0,     IF($B115=1,         MAX(0,$AE115 -480),$AE115     ))</f>
        <v>0</v>
      </c>
      <c r="AH115" s="31" t="n">
        <f aca="false">$AG115/60</f>
        <v>0</v>
      </c>
      <c r="AI115" s="31" t="n">
        <f aca="false">($T115+$W115+$Z115)*1440</f>
        <v>0</v>
      </c>
      <c r="AJ115" s="31" t="n">
        <f aca="false">$AI115/60</f>
        <v>0</v>
      </c>
      <c r="AK115" s="31" t="n">
        <f aca="false">(AC115)*1440</f>
        <v>0</v>
      </c>
      <c r="AL115" s="31" t="n">
        <f aca="false">$AK115/60</f>
        <v>0</v>
      </c>
      <c r="AM115" s="31" t="n">
        <f aca="false">($AD115)*1440</f>
        <v>0</v>
      </c>
      <c r="AN115" s="31" t="n">
        <f aca="false">$AM115/60</f>
        <v>0</v>
      </c>
    </row>
    <row r="116" customFormat="false" ht="1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26"/>
      <c r="I116" s="26"/>
      <c r="J116" s="25"/>
      <c r="K116" s="26"/>
      <c r="L116" s="26"/>
      <c r="M116" s="25"/>
      <c r="N116" s="26"/>
      <c r="O116" s="26"/>
      <c r="P116" s="25"/>
      <c r="Q116" s="25"/>
      <c r="R116" s="28"/>
      <c r="S116" s="28"/>
      <c r="T116" s="27"/>
      <c r="U116" s="28"/>
      <c r="V116" s="28"/>
      <c r="W116" s="27"/>
      <c r="X116" s="28"/>
      <c r="Y116" s="28"/>
      <c r="Z116" s="27"/>
      <c r="AA116" s="27"/>
      <c r="AB116" s="27"/>
      <c r="AC116" s="27"/>
      <c r="AD116" s="30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customFormat="false" ht="1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26"/>
      <c r="I117" s="26"/>
      <c r="J117" s="25"/>
      <c r="K117" s="26"/>
      <c r="L117" s="26"/>
      <c r="M117" s="25"/>
      <c r="N117" s="26"/>
      <c r="O117" s="26"/>
      <c r="P117" s="25"/>
      <c r="Q117" s="25"/>
      <c r="R117" s="28"/>
      <c r="S117" s="28"/>
      <c r="T117" s="27"/>
      <c r="U117" s="28"/>
      <c r="V117" s="28"/>
      <c r="W117" s="27"/>
      <c r="X117" s="28"/>
      <c r="Y117" s="28"/>
      <c r="Z117" s="27"/>
      <c r="AA117" s="27"/>
      <c r="AB117" s="27"/>
      <c r="AC117" s="27"/>
      <c r="AD117" s="30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customFormat="false" ht="1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26"/>
      <c r="I118" s="26"/>
      <c r="J118" s="25"/>
      <c r="K118" s="26"/>
      <c r="L118" s="26"/>
      <c r="M118" s="25"/>
      <c r="N118" s="26"/>
      <c r="O118" s="26"/>
      <c r="P118" s="25"/>
      <c r="Q118" s="25"/>
      <c r="R118" s="28"/>
      <c r="S118" s="28"/>
      <c r="T118" s="27"/>
      <c r="U118" s="28"/>
      <c r="V118" s="28"/>
      <c r="W118" s="27"/>
      <c r="X118" s="28"/>
      <c r="Y118" s="28"/>
      <c r="Z118" s="27"/>
      <c r="AA118" s="27"/>
      <c r="AB118" s="27"/>
      <c r="AC118" s="27"/>
      <c r="AD118" s="30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customFormat="false" ht="15" hidden="false" customHeight="true" outlineLevel="0" collapsed="false">
      <c r="A119" s="19" t="str">
        <f aca="false">IF(OR($E119="",$E119="---"),"---",WEEKDAY($E119,2))</f>
        <v>---</v>
      </c>
      <c r="B119" s="21" t="str">
        <f aca="false">IF(OR($E119="",$E119="---"),"---", IF(AND($A119&gt;5,$G119&lt;&gt;"---"),4, IF($G119&lt;&gt;"---",3, IF($A119&gt;5,2, 1))))</f>
        <v>---</v>
      </c>
      <c r="C119" s="22" t="str">
        <f aca="false">IF($B119="---","---",  IF($B119=4,"SVÁTEK + VÍKEND",  IF($B119=3,"SVÁTEK",  IF($B119=2,"VÍKEND",  "PRACOVNÍ DEN"))))</f>
        <v>---</v>
      </c>
      <c r="D119" s="9" t="str">
        <f aca="false">IF(OR($E119="",$E119="---"),"---",WEEKNUM($E119,2))</f>
        <v>---</v>
      </c>
      <c r="E119" s="32" t="str">
        <f aca="false">IF($E115="","---",IF($E115="---","---",IF(MONTH($E115+1)=MONTH($E115),$E115+1,"---")))</f>
        <v>---</v>
      </c>
      <c r="F119" s="21" t="str">
        <f aca="false">IF($E119="","---",IF($E119="---","---",IF($E119&gt;0,CHOOSE(WEEKDAY($E119,2),"Po","Út","St","Čt","Pá","So","Ne"))))</f>
        <v>---</v>
      </c>
      <c r="G119" s="16" t="str">
        <f aca="false">IF($F119="---","---", IF(AND($A$1&lt;&gt;"---",$E119=$A$1-2),"Velký pátek", IF(AND($A$1&lt;&gt;"---",$E119=$A$1+1),"Velikonoční pondělí", IF(AND(DAY($E119)=1, MONTH($E119)=1),"Den obnovy samostatného českého státu / Nový rok", IF(AND(DAY($E119)=1, MONTH($E119)=5),"Svátek práce", IF(AND(DAY($E119)=8, MONTH($E119)=5),"Den vítězství", IF(AND(DAY($E119)=5, MONTH($E119)=7),"Den slovanských věrozvěstů Cyrila a Metoděje", IF(AND(DAY($E119)=6, MONTH($E119)=7),"Den upálení mistra Jana Husa", IF(AND(DAY($E119)=28, MONTH($E119)=9),"Den české státnosti (sv. Václav)", IF(AND(DAY($E119)=28, MONTH($E119)=10),"Den vzniku samostatného československého státu", IF(AND(DAY($E119)=17, MONTH($E119)=11),"Den boje za svobodu a demokracii", IF(AND(DAY($E119)=24, MONTH($E119)=12),"Štědrý den", IF(AND(DAY($E119)=25, MONTH($E119)=12),"1. svátek vánoční", IF(AND(DAY($E119)=26, MONTH($E119)=12),"2. svátek vánoční", "---"))))))))))))))</f>
        <v>---</v>
      </c>
      <c r="H119" s="26"/>
      <c r="I119" s="26"/>
      <c r="J119" s="25" t="n">
        <f aca="false">IF($H119="",0,IF($I119="",0,IF($I119&lt;$H119,"Čas konce je opravdu mensi?",$I119-$H119)))</f>
        <v>0</v>
      </c>
      <c r="K119" s="26"/>
      <c r="L119" s="26"/>
      <c r="M119" s="25" t="n">
        <f aca="false">IF($K119="",0,IF($L119="",0,IF($L119&lt;$K119,"Čas konce je opravdu menší?",$L119-$K119)))</f>
        <v>0</v>
      </c>
      <c r="N119" s="26"/>
      <c r="O119" s="26"/>
      <c r="P119" s="25" t="n">
        <f aca="false">IF($N119="",0,IF($O119="",0,IF($O119&lt;$N119,"Čas konce je opravdu menší?",$O119-$N119)))</f>
        <v>0</v>
      </c>
      <c r="Q119" s="27" t="n">
        <f aca="false">$J119+$M119+$P119</f>
        <v>0</v>
      </c>
      <c r="R119" s="28" t="n">
        <f aca="false">IF(OR($H119="",$I119=""),0, IF($I119&gt;22/24, MAX($H119,22/24), IF($H119&lt;6/24, $H119,0)))</f>
        <v>0</v>
      </c>
      <c r="S119" s="28" t="n">
        <f aca="false">IF(OR($H119="",$I119=""),0,IF($I119&gt;22/24,MIN($I119,1),IF($H119&lt;6/24,MIN($I119,6/24),0)))</f>
        <v>0</v>
      </c>
      <c r="T119" s="27" t="n">
        <f aca="false">IF(OR($H119="",$I119=""),0, 
   MAX(0, MIN($I119,1) - MAX($H119,22/24))
 + MAX(0, MIN($I119,6/24) - MAX($H119,0))
)</f>
        <v>0</v>
      </c>
      <c r="U119" s="28" t="n">
        <f aca="false">IF(OR($K119="",$L119=""),0, IF($L119&gt;22/24, MAX($K119,22/24), IF($K119&lt;6/24, $K119,0)))</f>
        <v>0</v>
      </c>
      <c r="V119" s="28" t="n">
        <f aca="false">IF(OR($K119="",$L119=""),0,IF($L119&gt;22/24,MIN($L119,1),IF($K119&lt;6/24,MIN($L119,6/24),0)))</f>
        <v>0</v>
      </c>
      <c r="W119" s="27" t="n">
        <f aca="false">IF(OR($K119="",$L119=""),0, 
   MAX(0, MIN($L119,1) - MAX($K119,22/24))
 + MAX(0, MIN($L119,6/24) - MAX($K119,0))
)</f>
        <v>0</v>
      </c>
      <c r="X119" s="28" t="n">
        <f aca="false">IF(OR($N119="",$O119=""),0, IF($O119&gt;22/24, MAX($N119,22/24), IF($N119&lt;6/24, $N119,0)))</f>
        <v>0</v>
      </c>
      <c r="Y119" s="28" t="n">
        <f aca="false">IF(OR($N119="",$O119=""),0,IF($O119&gt;22/24,MIN($O119,1),IF($N119&lt;6/24,MIN($O119,6/24),0)))</f>
        <v>0</v>
      </c>
      <c r="Z119" s="27" t="n">
        <f aca="false">IF(OR($N119="",$O119=""),0, 
   MAX(0, MIN($O119,1) - MAX($N119,22/24))
 + MAX(0, MIN($O119,6/24) - MAX($N119,0))
)</f>
        <v>0</v>
      </c>
      <c r="AA119" s="29" t="str">
        <f aca="false">TEXT(INT($AG119/60),"00")  &amp; ":"  &amp; TEXT(MOD($AG119,60),"00")  &amp; ":00"</f>
        <v>00:00:00</v>
      </c>
      <c r="AB119" s="27" t="n">
        <f aca="false">$T119+$W119+$Z119</f>
        <v>0</v>
      </c>
      <c r="AC119" s="27" t="n">
        <f aca="false">IF(OR($F119="So",$F119="Ne"),$Q119,0)</f>
        <v>0</v>
      </c>
      <c r="AD119" s="30" t="n">
        <f aca="false">IF($G119&lt;&gt;"---", $Q119,0)</f>
        <v>0</v>
      </c>
      <c r="AE119" s="31" t="n">
        <f aca="false">($J119*1440) +($M119*1440) +($P119*1440)</f>
        <v>0</v>
      </c>
      <c r="AF119" s="31" t="n">
        <f aca="false">$AE119/60</f>
        <v>0</v>
      </c>
      <c r="AG119" s="31" t="n">
        <f aca="false">IF(OR($B119="", $B119="---"),0,     IF($B119=1,         MAX(0,$AE119 -480),$AE119     ))</f>
        <v>0</v>
      </c>
      <c r="AH119" s="31" t="n">
        <f aca="false">$AG119/60</f>
        <v>0</v>
      </c>
      <c r="AI119" s="31" t="n">
        <f aca="false">($T119+$W119+$Z119)*1440</f>
        <v>0</v>
      </c>
      <c r="AJ119" s="31" t="n">
        <f aca="false">$AI119/60</f>
        <v>0</v>
      </c>
      <c r="AK119" s="31" t="n">
        <f aca="false">(AC119)*1440</f>
        <v>0</v>
      </c>
      <c r="AL119" s="31" t="n">
        <f aca="false">$AK119/60</f>
        <v>0</v>
      </c>
      <c r="AM119" s="31" t="n">
        <f aca="false">($AD119)*1440</f>
        <v>0</v>
      </c>
      <c r="AN119" s="31" t="n">
        <f aca="false">$AM119/60</f>
        <v>0</v>
      </c>
    </row>
    <row r="120" customFormat="false" ht="1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26"/>
      <c r="I120" s="26"/>
      <c r="J120" s="25"/>
      <c r="K120" s="26"/>
      <c r="L120" s="26"/>
      <c r="M120" s="25"/>
      <c r="N120" s="26"/>
      <c r="O120" s="26"/>
      <c r="P120" s="25"/>
      <c r="Q120" s="25"/>
      <c r="R120" s="28"/>
      <c r="S120" s="28"/>
      <c r="T120" s="27"/>
      <c r="U120" s="28"/>
      <c r="V120" s="28"/>
      <c r="W120" s="27"/>
      <c r="X120" s="28"/>
      <c r="Y120" s="28"/>
      <c r="Z120" s="27"/>
      <c r="AA120" s="27"/>
      <c r="AB120" s="27"/>
      <c r="AC120" s="27"/>
      <c r="AD120" s="30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customFormat="false" ht="1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26"/>
      <c r="I121" s="26"/>
      <c r="J121" s="25"/>
      <c r="K121" s="26"/>
      <c r="L121" s="26"/>
      <c r="M121" s="25"/>
      <c r="N121" s="26"/>
      <c r="O121" s="26"/>
      <c r="P121" s="25"/>
      <c r="Q121" s="25"/>
      <c r="R121" s="28"/>
      <c r="S121" s="28"/>
      <c r="T121" s="27"/>
      <c r="U121" s="28"/>
      <c r="V121" s="28"/>
      <c r="W121" s="27"/>
      <c r="X121" s="28"/>
      <c r="Y121" s="28"/>
      <c r="Z121" s="27"/>
      <c r="AA121" s="27"/>
      <c r="AB121" s="27"/>
      <c r="AC121" s="27"/>
      <c r="AD121" s="30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customFormat="false" ht="1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26"/>
      <c r="I122" s="26"/>
      <c r="J122" s="25"/>
      <c r="K122" s="26"/>
      <c r="L122" s="26"/>
      <c r="M122" s="25"/>
      <c r="N122" s="26"/>
      <c r="O122" s="26"/>
      <c r="P122" s="25"/>
      <c r="Q122" s="25"/>
      <c r="R122" s="28"/>
      <c r="S122" s="28"/>
      <c r="T122" s="27"/>
      <c r="U122" s="28"/>
      <c r="V122" s="28"/>
      <c r="W122" s="27"/>
      <c r="X122" s="28"/>
      <c r="Y122" s="28"/>
      <c r="Z122" s="27"/>
      <c r="AA122" s="27"/>
      <c r="AB122" s="27"/>
      <c r="AC122" s="27"/>
      <c r="AD122" s="30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customFormat="false" ht="15" hidden="false" customHeight="true" outlineLevel="0" collapsed="false">
      <c r="A123" s="19" t="str">
        <f aca="false">IF(OR($E123="",$E123="---"),"---",WEEKDAY($E123,2))</f>
        <v>---</v>
      </c>
      <c r="B123" s="21" t="str">
        <f aca="false">IF(OR($E123="",$E123="---"),"---", IF(AND($A123&gt;5,$G123&lt;&gt;"---"),4, IF($G123&lt;&gt;"---",3, IF($A123&gt;5,2, 1))))</f>
        <v>---</v>
      </c>
      <c r="C123" s="22" t="str">
        <f aca="false">IF($B123="---","---",  IF($B123=4,"SVÁTEK + VÍKEND",  IF($B123=3,"SVÁTEK",  IF($B123=2,"VÍKEND",  "PRACOVNÍ DEN"))))</f>
        <v>---</v>
      </c>
      <c r="D123" s="9" t="str">
        <f aca="false">IF(OR($E123="",$E123="---"),"---",WEEKNUM($E123,2))</f>
        <v>---</v>
      </c>
      <c r="E123" s="32" t="str">
        <f aca="false">IF($E119="","---",IF($E119="---","---",IF(MONTH($E119+1)=MONTH($E119),$E119+1,"---")))</f>
        <v>---</v>
      </c>
      <c r="F123" s="21" t="str">
        <f aca="false">IF($E123="","---",IF($E123="---","---",IF($E123&gt;0,CHOOSE(WEEKDAY($E123,2),"Po","Út","St","Čt","Pá","So","Ne"))))</f>
        <v>---</v>
      </c>
      <c r="G123" s="16" t="str">
        <f aca="false">IF($F123="---","---", IF(AND($A$1&lt;&gt;"---",$E123=$A$1-2),"Velký pátek", IF(AND($A$1&lt;&gt;"---",$E123=$A$1+1),"Velikonoční pondělí", IF(AND(DAY($E123)=1, MONTH($E123)=1),"Den obnovy samostatného českého státu / Nový rok", IF(AND(DAY($E123)=1, MONTH($E123)=5),"Svátek práce", IF(AND(DAY($E123)=8, MONTH($E123)=5),"Den vítězství", IF(AND(DAY($E123)=5, MONTH($E123)=7),"Den slovanských věrozvěstů Cyrila a Metoděje", IF(AND(DAY($E123)=6, MONTH($E123)=7),"Den upálení mistra Jana Husa", IF(AND(DAY($E123)=28, MONTH($E123)=9),"Den české státnosti (sv. Václav)", IF(AND(DAY($E123)=28, MONTH($E123)=10),"Den vzniku samostatného československého státu", IF(AND(DAY($E123)=17, MONTH($E123)=11),"Den boje za svobodu a demokracii", IF(AND(DAY($E123)=24, MONTH($E123)=12),"Štědrý den", IF(AND(DAY($E123)=25, MONTH($E123)=12),"1. svátek vánoční", IF(AND(DAY($E123)=26, MONTH($E123)=12),"2. svátek vánoční", "---"))))))))))))))</f>
        <v>---</v>
      </c>
      <c r="H123" s="33"/>
      <c r="I123" s="33"/>
      <c r="J123" s="25" t="n">
        <f aca="false">IF($H123="",0,IF($I123="",0,IF($I123&lt;$H123,"Čas konce je opravdu mensi?",$I123-$H123)))</f>
        <v>0</v>
      </c>
      <c r="K123" s="33"/>
      <c r="L123" s="33"/>
      <c r="M123" s="25" t="n">
        <f aca="false">IF($K123="",0,IF($L123="",0,IF($L123&lt;$K123,"Čas konce je opravdu menší?",$L123-$K123)))</f>
        <v>0</v>
      </c>
      <c r="N123" s="26"/>
      <c r="O123" s="26"/>
      <c r="P123" s="25" t="n">
        <f aca="false">IF($N123="",0,IF($O123="",0,IF($O123&lt;$N123,"Čas konce je opravdu menší?",$O123-$N123)))</f>
        <v>0</v>
      </c>
      <c r="Q123" s="27" t="n">
        <f aca="false">$J123+$M123+$P123</f>
        <v>0</v>
      </c>
      <c r="R123" s="28" t="n">
        <f aca="false">IF(OR($H123="",$I123=""),0, IF($I123&gt;22/24, MAX($H123,22/24), IF($H123&lt;6/24, $H123,0)))</f>
        <v>0</v>
      </c>
      <c r="S123" s="28" t="n">
        <f aca="false">IF(OR($H123="",$I123=""),0,IF($I123&gt;22/24,MIN($I123,1),IF($H123&lt;6/24,MIN($I123,6/24),0)))</f>
        <v>0</v>
      </c>
      <c r="T123" s="27" t="n">
        <f aca="false">IF(OR($H123="",$I123=""),0, 
   MAX(0, MIN($I123,1) - MAX($H123,22/24))
 + MAX(0, MIN($I123,6/24) - MAX($H123,0))
)</f>
        <v>0</v>
      </c>
      <c r="U123" s="28" t="n">
        <f aca="false">IF(OR($K123="",$L123=""),0, IF($L123&gt;22/24, MAX($K123,22/24), IF($K123&lt;6/24, $K123,0)))</f>
        <v>0</v>
      </c>
      <c r="V123" s="28" t="n">
        <f aca="false">IF(OR($K123="",$L123=""),0,IF($L123&gt;22/24,MIN($L123,1),IF($K123&lt;6/24,MIN($L123,6/24),0)))</f>
        <v>0</v>
      </c>
      <c r="W123" s="27" t="n">
        <f aca="false">IF(OR($K123="",$L123=""),0, 
   MAX(0, MIN($L123,1) - MAX($K123,22/24))
 + MAX(0, MIN($L123,6/24) - MAX($K123,0))
)</f>
        <v>0</v>
      </c>
      <c r="X123" s="28" t="n">
        <f aca="false">IF(OR($N123="",$O123=""),0, IF($O123&gt;22/24, MAX($N123,22/24), IF($N123&lt;6/24, $N123,0)))</f>
        <v>0</v>
      </c>
      <c r="Y123" s="28" t="n">
        <f aca="false">IF(OR($N123="",$O123=""),0,IF($O123&gt;22/24,MIN($O123,1),IF($N123&lt;6/24,MIN($O123,6/24),0)))</f>
        <v>0</v>
      </c>
      <c r="Z123" s="27" t="n">
        <f aca="false">IF(OR($N123="",$O123=""),0, 
   MAX(0, MIN($O123,1) - MAX($N123,22/24))
 + MAX(0, MIN($O123,6/24) - MAX($N123,0))
)</f>
        <v>0</v>
      </c>
      <c r="AA123" s="29" t="str">
        <f aca="false">TEXT(INT($AG123/60),"00")  &amp; ":"  &amp; TEXT(MOD($AG123,60),"00")  &amp; ":00"</f>
        <v>00:00:00</v>
      </c>
      <c r="AB123" s="27" t="n">
        <f aca="false">$T123+$W123+$Z123</f>
        <v>0</v>
      </c>
      <c r="AC123" s="27" t="n">
        <f aca="false">IF(OR($F123="So",$F123="Ne"),$Q123,0)</f>
        <v>0</v>
      </c>
      <c r="AD123" s="30" t="n">
        <f aca="false">IF($G123&lt;&gt;"---", $Q123,0)</f>
        <v>0</v>
      </c>
      <c r="AE123" s="31" t="n">
        <f aca="false">($J123*1440) +($M123*1440) +($P123*1440)</f>
        <v>0</v>
      </c>
      <c r="AF123" s="31" t="n">
        <f aca="false">$AE123/60</f>
        <v>0</v>
      </c>
      <c r="AG123" s="31" t="n">
        <f aca="false">IF(OR($B123="", $B123="---"),0,     IF($B123=1,         MAX(0,$AE123 -480),$AE123     ))</f>
        <v>0</v>
      </c>
      <c r="AH123" s="31" t="n">
        <f aca="false">$AG123/60</f>
        <v>0</v>
      </c>
      <c r="AI123" s="31" t="n">
        <f aca="false">($T123+$W123+$Z123)*1440</f>
        <v>0</v>
      </c>
      <c r="AJ123" s="31" t="n">
        <f aca="false">$AI123/60</f>
        <v>0</v>
      </c>
      <c r="AK123" s="31" t="n">
        <f aca="false">(AC123)*1440</f>
        <v>0</v>
      </c>
      <c r="AL123" s="31" t="n">
        <f aca="false">$AK123/60</f>
        <v>0</v>
      </c>
      <c r="AM123" s="31" t="n">
        <f aca="false">($AD123)*1440</f>
        <v>0</v>
      </c>
      <c r="AN123" s="31" t="n">
        <f aca="false">$AM123/60</f>
        <v>0</v>
      </c>
    </row>
    <row r="124" customFormat="false" ht="1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33"/>
      <c r="I124" s="33"/>
      <c r="J124" s="25"/>
      <c r="K124" s="33"/>
      <c r="L124" s="33"/>
      <c r="M124" s="25"/>
      <c r="N124" s="26"/>
      <c r="O124" s="26"/>
      <c r="P124" s="25"/>
      <c r="Q124" s="25"/>
      <c r="R124" s="28"/>
      <c r="S124" s="28"/>
      <c r="T124" s="27"/>
      <c r="U124" s="28"/>
      <c r="V124" s="28"/>
      <c r="W124" s="27"/>
      <c r="X124" s="28"/>
      <c r="Y124" s="28"/>
      <c r="Z124" s="27"/>
      <c r="AA124" s="27"/>
      <c r="AB124" s="27"/>
      <c r="AC124" s="27"/>
      <c r="AD124" s="30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customFormat="false" ht="1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33"/>
      <c r="I125" s="33"/>
      <c r="J125" s="25"/>
      <c r="K125" s="33"/>
      <c r="L125" s="33"/>
      <c r="M125" s="25"/>
      <c r="N125" s="26"/>
      <c r="O125" s="26"/>
      <c r="P125" s="25"/>
      <c r="Q125" s="25"/>
      <c r="R125" s="28"/>
      <c r="S125" s="28"/>
      <c r="T125" s="27"/>
      <c r="U125" s="28"/>
      <c r="V125" s="28"/>
      <c r="W125" s="27"/>
      <c r="X125" s="28"/>
      <c r="Y125" s="28"/>
      <c r="Z125" s="27"/>
      <c r="AA125" s="27"/>
      <c r="AB125" s="27"/>
      <c r="AC125" s="27"/>
      <c r="AD125" s="30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customFormat="false" ht="1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33"/>
      <c r="I126" s="33"/>
      <c r="J126" s="25"/>
      <c r="K126" s="33"/>
      <c r="L126" s="33"/>
      <c r="M126" s="25"/>
      <c r="N126" s="26"/>
      <c r="O126" s="26"/>
      <c r="P126" s="25"/>
      <c r="Q126" s="25"/>
      <c r="R126" s="28"/>
      <c r="S126" s="28"/>
      <c r="T126" s="27"/>
      <c r="U126" s="28"/>
      <c r="V126" s="28"/>
      <c r="W126" s="27"/>
      <c r="X126" s="28"/>
      <c r="Y126" s="28"/>
      <c r="Z126" s="27"/>
      <c r="AA126" s="27"/>
      <c r="AB126" s="27"/>
      <c r="AC126" s="27"/>
      <c r="AD126" s="30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customFormat="false" ht="15" hidden="false" customHeight="true" outlineLevel="0" collapsed="false">
      <c r="A127" s="19" t="str">
        <f aca="false">IF(OR($E127="",$E127="---"),"---",WEEKDAY($E127,2))</f>
        <v>---</v>
      </c>
      <c r="B127" s="21" t="str">
        <f aca="false">IF(OR($E127="",$E127="---"),"---", IF(AND($A127&gt;5,$G127&lt;&gt;"---"),4, IF($G127&lt;&gt;"---",3, IF($A127&gt;5,2, 1))))</f>
        <v>---</v>
      </c>
      <c r="C127" s="22" t="str">
        <f aca="false">IF($B127="---","---",  IF($B127=4,"SVÁTEK + VÍKEND",  IF($B127=3,"SVÁTEK",  IF($B127=2,"VÍKEND",  "PRACOVNÍ DEN"))))</f>
        <v>---</v>
      </c>
      <c r="D127" s="9" t="str">
        <f aca="false">IF(OR($E127="",$E127="---"),"---",WEEKNUM($E127,2))</f>
        <v>---</v>
      </c>
      <c r="E127" s="32" t="str">
        <f aca="false">IF($E123="","---",IF($E123="---","---",IF(MONTH($E123+1)=MONTH($E123),$E123+1,"---")))</f>
        <v>---</v>
      </c>
      <c r="F127" s="21" t="str">
        <f aca="false">IF($E127="","---",IF($E127="---","---",IF($E127&gt;0,CHOOSE(WEEKDAY($E127,2),"Po","Út","St","Čt","Pá","So","Ne"))))</f>
        <v>---</v>
      </c>
      <c r="G127" s="16" t="str">
        <f aca="false">IF($F127="---","---", IF(AND($A$1&lt;&gt;"---",$E127=$A$1-2),"Velký pátek", IF(AND($A$1&lt;&gt;"---",$E127=$A$1+1),"Velikonoční pondělí", IF(AND(DAY($E127)=1, MONTH($E127)=1),"Den obnovy samostatného českého státu / Nový rok", IF(AND(DAY($E127)=1, MONTH($E127)=5),"Svátek práce", IF(AND(DAY($E127)=8, MONTH($E127)=5),"Den vítězství", IF(AND(DAY($E127)=5, MONTH($E127)=7),"Den slovanských věrozvěstů Cyrila a Metoděje", IF(AND(DAY($E127)=6, MONTH($E127)=7),"Den upálení mistra Jana Husa", IF(AND(DAY($E127)=28, MONTH($E127)=9),"Den české státnosti (sv. Václav)", IF(AND(DAY($E127)=28, MONTH($E127)=10),"Den vzniku samostatného československého státu", IF(AND(DAY($E127)=17, MONTH($E127)=11),"Den boje za svobodu a demokracii", IF(AND(DAY($E127)=24, MONTH($E127)=12),"Štědrý den", IF(AND(DAY($E127)=25, MONTH($E127)=12),"1. svátek vánoční", IF(AND(DAY($E127)=26, MONTH($E127)=12),"2. svátek vánoční", "---"))))))))))))))</f>
        <v>---</v>
      </c>
      <c r="H127" s="26"/>
      <c r="I127" s="34"/>
      <c r="J127" s="25" t="n">
        <f aca="false">IF($H127="",0,IF($I127="",0,IF($I127&lt;$H127,"Čas konce je opravdu mensi?",$I127-$H127)))</f>
        <v>0</v>
      </c>
      <c r="K127" s="33"/>
      <c r="L127" s="33"/>
      <c r="M127" s="25" t="n">
        <f aca="false">IF($K127="",0,IF($L127="",0,IF($L127&lt;$K127,"Čas konce je opravdu menší?",$L127-$K127)))</f>
        <v>0</v>
      </c>
      <c r="N127" s="26"/>
      <c r="O127" s="26"/>
      <c r="P127" s="25" t="n">
        <f aca="false">IF($N127="",0,IF($O127="",0,IF($O127&lt;$N127,"Čas konce je opravdu menší?",$O127-$N127)))</f>
        <v>0</v>
      </c>
      <c r="Q127" s="27" t="n">
        <f aca="false">$J127+$M127+$P127</f>
        <v>0</v>
      </c>
      <c r="R127" s="28" t="n">
        <f aca="false">IF(OR($H127="",$I127=""),0, IF($I127&gt;22/24, MAX($H127,22/24), IF($H127&lt;6/24, $H127,0)))</f>
        <v>0</v>
      </c>
      <c r="S127" s="28" t="n">
        <f aca="false">IF(OR($H127="",$I127=""),0,IF($I127&gt;22/24,MIN($I127,1),IF($H127&lt;6/24,MIN($I127,6/24),0)))</f>
        <v>0</v>
      </c>
      <c r="T127" s="27" t="n">
        <f aca="false">IF(OR($H127="",$I127=""),0, 
   MAX(0, MIN($I127,1) - MAX($H127,22/24))
 + MAX(0, MIN($I127,6/24) - MAX($H127,0))
)</f>
        <v>0</v>
      </c>
      <c r="U127" s="28" t="n">
        <f aca="false">IF(OR($K127="",$L127=""),0, IF($L127&gt;22/24, MAX($K127,22/24), IF($K127&lt;6/24, $K127,0)))</f>
        <v>0</v>
      </c>
      <c r="V127" s="28" t="n">
        <f aca="false">IF(OR($K127="",$L127=""),0,IF($L127&gt;22/24,MIN($L127,1),IF($K127&lt;6/24,MIN($L127,6/24),0)))</f>
        <v>0</v>
      </c>
      <c r="W127" s="27" t="n">
        <f aca="false">IF(OR($K127="",$L127=""),0, 
   MAX(0, MIN($L127,1) - MAX($K127,22/24))
 + MAX(0, MIN($L127,6/24) - MAX($K127,0))
)</f>
        <v>0</v>
      </c>
      <c r="X127" s="28" t="n">
        <f aca="false">IF(OR($N127="",$O127=""),0, IF($O127&gt;22/24, MAX($N127,22/24), IF($N127&lt;6/24, $N127,0)))</f>
        <v>0</v>
      </c>
      <c r="Y127" s="28" t="n">
        <f aca="false">IF(OR($N127="",$O127=""),0,IF($O127&gt;22/24,MIN($O127,1),IF($N127&lt;6/24,MIN($O127,6/24),0)))</f>
        <v>0</v>
      </c>
      <c r="Z127" s="27" t="n">
        <f aca="false">IF(OR($N127="",$O127=""),0, 
   MAX(0, MIN($O127,1) - MAX($N127,22/24))
 + MAX(0, MIN($O127,6/24) - MAX($N127,0))
)</f>
        <v>0</v>
      </c>
      <c r="AA127" s="29" t="str">
        <f aca="false">TEXT(INT($AG127/60),"00")  &amp; ":"  &amp; TEXT(MOD($AG127,60),"00")  &amp; ":00"</f>
        <v>00:00:00</v>
      </c>
      <c r="AB127" s="27" t="n">
        <f aca="false">$T127+$W127+$Z127</f>
        <v>0</v>
      </c>
      <c r="AC127" s="27" t="n">
        <f aca="false">IF(OR($F127="So",$F127="Ne"),$Q127,0)</f>
        <v>0</v>
      </c>
      <c r="AD127" s="30" t="n">
        <f aca="false">IF($G127&lt;&gt;"---", $Q127,0)</f>
        <v>0</v>
      </c>
      <c r="AE127" s="31" t="n">
        <f aca="false">($J127*1440) +($M127*1440) +($P127*1440)</f>
        <v>0</v>
      </c>
      <c r="AF127" s="31" t="n">
        <f aca="false">$AE127/60</f>
        <v>0</v>
      </c>
      <c r="AG127" s="31" t="n">
        <f aca="false">IF(OR($B127="", $B127="---"),0,     IF($B127=1,         MAX(0,$AE127 -480),$AE127     ))</f>
        <v>0</v>
      </c>
      <c r="AH127" s="31" t="n">
        <f aca="false">$AG127/60</f>
        <v>0</v>
      </c>
      <c r="AI127" s="31" t="n">
        <f aca="false">($T127+$W127+$Z127)*1440</f>
        <v>0</v>
      </c>
      <c r="AJ127" s="31" t="n">
        <f aca="false">$AI127/60</f>
        <v>0</v>
      </c>
      <c r="AK127" s="31" t="n">
        <f aca="false">(AC127)*1440</f>
        <v>0</v>
      </c>
      <c r="AL127" s="31" t="n">
        <f aca="false">$AK127/60</f>
        <v>0</v>
      </c>
      <c r="AM127" s="31" t="n">
        <f aca="false">($AD127)*1440</f>
        <v>0</v>
      </c>
      <c r="AN127" s="31" t="n">
        <f aca="false">$AM127/60</f>
        <v>0</v>
      </c>
    </row>
    <row r="128" customFormat="false" ht="1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26"/>
      <c r="I128" s="26"/>
      <c r="J128" s="25"/>
      <c r="K128" s="33"/>
      <c r="L128" s="33"/>
      <c r="M128" s="25"/>
      <c r="N128" s="26"/>
      <c r="O128" s="26"/>
      <c r="P128" s="25"/>
      <c r="Q128" s="25"/>
      <c r="R128" s="28"/>
      <c r="S128" s="28"/>
      <c r="T128" s="27"/>
      <c r="U128" s="28"/>
      <c r="V128" s="28"/>
      <c r="W128" s="27"/>
      <c r="X128" s="28"/>
      <c r="Y128" s="28"/>
      <c r="Z128" s="27"/>
      <c r="AA128" s="27"/>
      <c r="AB128" s="27"/>
      <c r="AC128" s="27"/>
      <c r="AD128" s="30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customFormat="false" ht="1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26"/>
      <c r="I129" s="26"/>
      <c r="J129" s="25"/>
      <c r="K129" s="33"/>
      <c r="L129" s="33"/>
      <c r="M129" s="25"/>
      <c r="N129" s="26"/>
      <c r="O129" s="26"/>
      <c r="P129" s="25"/>
      <c r="Q129" s="25"/>
      <c r="R129" s="28"/>
      <c r="S129" s="28"/>
      <c r="T129" s="27"/>
      <c r="U129" s="28"/>
      <c r="V129" s="28"/>
      <c r="W129" s="27"/>
      <c r="X129" s="28"/>
      <c r="Y129" s="28"/>
      <c r="Z129" s="27"/>
      <c r="AA129" s="27"/>
      <c r="AB129" s="27"/>
      <c r="AC129" s="27"/>
      <c r="AD129" s="30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customFormat="false" ht="1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26"/>
      <c r="I130" s="26"/>
      <c r="J130" s="25"/>
      <c r="K130" s="33"/>
      <c r="L130" s="33"/>
      <c r="M130" s="25"/>
      <c r="N130" s="26"/>
      <c r="O130" s="26"/>
      <c r="P130" s="25"/>
      <c r="Q130" s="25"/>
      <c r="R130" s="28"/>
      <c r="S130" s="28"/>
      <c r="T130" s="27"/>
      <c r="U130" s="28"/>
      <c r="V130" s="28"/>
      <c r="W130" s="27"/>
      <c r="X130" s="28"/>
      <c r="Y130" s="28"/>
      <c r="Z130" s="27"/>
      <c r="AA130" s="27"/>
      <c r="AB130" s="27"/>
      <c r="AC130" s="27"/>
      <c r="AD130" s="30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customFormat="false" ht="15" hidden="false" customHeight="true" outlineLevel="0" collapsed="false">
      <c r="A131" s="19" t="str">
        <f aca="false">IF(OR($E131="",$E131="---"),"---",WEEKDAY($E131,2))</f>
        <v>---</v>
      </c>
      <c r="B131" s="21" t="str">
        <f aca="false">IF(OR($E131="",$E131="---"),"---", IF(AND($A131&gt;5,$G131&lt;&gt;"---"),4, IF($G131&lt;&gt;"---",3, IF($A131&gt;5,2, 1))))</f>
        <v>---</v>
      </c>
      <c r="C131" s="22" t="str">
        <f aca="false">IF($B131="---","---",  IF($B131=4,"SVÁTEK + VÍKEND",  IF($B131=3,"SVÁTEK",  IF($B131=2,"VÍKEND",  "PRACOVNÍ DEN"))))</f>
        <v>---</v>
      </c>
      <c r="D131" s="9" t="str">
        <f aca="false">IF(OR($E131="",$E131="---"),"---",WEEKNUM($E131,2))</f>
        <v>---</v>
      </c>
      <c r="E131" s="32" t="str">
        <f aca="false">IF($E127="","---",IF($E127="---","---",IF(MONTH($E127+1)=MONTH($E127),$E127+1,"---")))</f>
        <v>---</v>
      </c>
      <c r="F131" s="21" t="str">
        <f aca="false">IF($E131="","---",IF($E131="---","---",IF($E131&gt;0,CHOOSE(WEEKDAY($E131,2),"Po","Út","St","Čt","Pá","So","Ne"))))</f>
        <v>---</v>
      </c>
      <c r="G131" s="16" t="str">
        <f aca="false">IF($F131="---","---", IF(AND($A$1&lt;&gt;"---",$E131=$A$1-2),"Velký pátek", IF(AND($A$1&lt;&gt;"---",$E131=$A$1+1),"Velikonoční pondělí", IF(AND(DAY($E131)=1, MONTH($E131)=1),"Den obnovy samostatného českého státu / Nový rok", IF(AND(DAY($E131)=1, MONTH($E131)=5),"Svátek práce", IF(AND(DAY($E131)=8, MONTH($E131)=5),"Den vítězství", IF(AND(DAY($E131)=5, MONTH($E131)=7),"Den slovanských věrozvěstů Cyrila a Metoděje", IF(AND(DAY($E131)=6, MONTH($E131)=7),"Den upálení mistra Jana Husa", IF(AND(DAY($E131)=28, MONTH($E131)=9),"Den české státnosti (sv. Václav)", IF(AND(DAY($E131)=28, MONTH($E131)=10),"Den vzniku samostatného československého státu", IF(AND(DAY($E131)=17, MONTH($E131)=11),"Den boje za svobodu a demokracii", IF(AND(DAY($E131)=24, MONTH($E131)=12),"Štědrý den", IF(AND(DAY($E131)=25, MONTH($E131)=12),"1. svátek vánoční", IF(AND(DAY($E131)=26, MONTH($E131)=12),"2. svátek vánoční", "---"))))))))))))))</f>
        <v>---</v>
      </c>
      <c r="H131" s="33"/>
      <c r="I131" s="33"/>
      <c r="J131" s="25" t="n">
        <f aca="false">IF($H131="",0,IF($I131="",0,IF($I131&lt;$H131,"Čas konce je opravdu mensi?",$I131-$H131)))</f>
        <v>0</v>
      </c>
      <c r="K131" s="33"/>
      <c r="L131" s="33"/>
      <c r="M131" s="25" t="n">
        <f aca="false">IF($K131="",0,IF($L131="",0,IF($L131&lt;$K131,"Čas konce je opravdu menší?",$L131-$K131)))</f>
        <v>0</v>
      </c>
      <c r="N131" s="26"/>
      <c r="O131" s="26"/>
      <c r="P131" s="25" t="n">
        <f aca="false">IF($N131="",0,IF($O131="",0,IF($O131&lt;$N131,"Čas konce je opravdu menší?",$O131-$N131)))</f>
        <v>0</v>
      </c>
      <c r="Q131" s="27" t="n">
        <f aca="false">$J131+$M131+$P131</f>
        <v>0</v>
      </c>
      <c r="R131" s="28" t="n">
        <f aca="false">IF(OR($H131="",$I131=""),0, IF($I131&gt;22/24, MAX($H131,22/24), IF($H131&lt;6/24, $H131,0)))</f>
        <v>0</v>
      </c>
      <c r="S131" s="28" t="n">
        <f aca="false">IF(OR($H131="",$I131=""),0,IF($I131&gt;22/24,MIN($I131,1),IF($H131&lt;6/24,MIN($I131,6/24),0)))</f>
        <v>0</v>
      </c>
      <c r="T131" s="27" t="n">
        <f aca="false">IF(OR($H131="",$I131=""),0, 
   MAX(0, MIN($I131,1) - MAX($H131,22/24))
 + MAX(0, MIN($I131,6/24) - MAX($H131,0))
)</f>
        <v>0</v>
      </c>
      <c r="U131" s="28" t="n">
        <f aca="false">IF(OR($K131="",$L131=""),0, IF($L131&gt;22/24, MAX($K131,22/24), IF($K131&lt;6/24, $K131,0)))</f>
        <v>0</v>
      </c>
      <c r="V131" s="28" t="n">
        <f aca="false">IF(OR($K131="",$L131=""),0,IF($L131&gt;22/24,MIN($L131,1),IF($K131&lt;6/24,MIN($L131,6/24),0)))</f>
        <v>0</v>
      </c>
      <c r="W131" s="27" t="n">
        <f aca="false">IF(OR($K131="",$L131=""),0, 
   MAX(0, MIN($L131,1) - MAX($K131,22/24))
 + MAX(0, MIN($L131,6/24) - MAX($K131,0))
)</f>
        <v>0</v>
      </c>
      <c r="X131" s="28" t="n">
        <f aca="false">IF(OR($N131="",$O131=""),0, IF($O131&gt;22/24, MAX($N131,22/24), IF($N131&lt;6/24, $N131,0)))</f>
        <v>0</v>
      </c>
      <c r="Y131" s="28" t="n">
        <f aca="false">IF(OR($N131="",$O131=""),0,IF($O131&gt;22/24,MIN($O131,1),IF($N131&lt;6/24,MIN($O131,6/24),0)))</f>
        <v>0</v>
      </c>
      <c r="Z131" s="27" t="n">
        <f aca="false">IF(OR($N131="",$O131=""),0, 
   MAX(0, MIN($O131,1) - MAX($N131,22/24))
 + MAX(0, MIN($O131,6/24) - MAX($N131,0))
)</f>
        <v>0</v>
      </c>
      <c r="AA131" s="29" t="str">
        <f aca="false">TEXT(INT($AG131/60),"00")  &amp; ":"  &amp; TEXT(MOD($AG131,60),"00")  &amp; ":00"</f>
        <v>00:00:00</v>
      </c>
      <c r="AB131" s="27" t="n">
        <f aca="false">$T131+$W131+$Z131</f>
        <v>0</v>
      </c>
      <c r="AC131" s="27" t="n">
        <f aca="false">IF(OR($F131="So",$F131="Ne"),$Q131,0)</f>
        <v>0</v>
      </c>
      <c r="AD131" s="30" t="n">
        <f aca="false">IF($G131&lt;&gt;"---", $Q131,0)</f>
        <v>0</v>
      </c>
      <c r="AE131" s="31" t="n">
        <f aca="false">($J131*1440) +($M131*1440) +($P131*1440)</f>
        <v>0</v>
      </c>
      <c r="AF131" s="31" t="n">
        <f aca="false">$AE131/60</f>
        <v>0</v>
      </c>
      <c r="AG131" s="31" t="n">
        <f aca="false">IF(OR($B131="", $B131="---"),0,     IF($B131=1,         MAX(0,$AE131 -480),$AE131     ))</f>
        <v>0</v>
      </c>
      <c r="AH131" s="31" t="n">
        <f aca="false">$AG131/60</f>
        <v>0</v>
      </c>
      <c r="AI131" s="31" t="n">
        <f aca="false">($T131+$W131+$Z131)*1440</f>
        <v>0</v>
      </c>
      <c r="AJ131" s="31" t="n">
        <f aca="false">$AI131/60</f>
        <v>0</v>
      </c>
      <c r="AK131" s="31" t="n">
        <f aca="false">(AC131)*1440</f>
        <v>0</v>
      </c>
      <c r="AL131" s="31" t="n">
        <f aca="false">$AK131/60</f>
        <v>0</v>
      </c>
      <c r="AM131" s="31" t="n">
        <f aca="false">($AD131)*1440</f>
        <v>0</v>
      </c>
      <c r="AN131" s="31" t="n">
        <f aca="false">$AM131/60</f>
        <v>0</v>
      </c>
    </row>
    <row r="132" customFormat="false" ht="1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33"/>
      <c r="I132" s="33"/>
      <c r="J132" s="25"/>
      <c r="K132" s="33"/>
      <c r="L132" s="33"/>
      <c r="M132" s="25"/>
      <c r="N132" s="26"/>
      <c r="O132" s="26"/>
      <c r="P132" s="25"/>
      <c r="Q132" s="27"/>
      <c r="R132" s="28"/>
      <c r="S132" s="28"/>
      <c r="T132" s="27"/>
      <c r="U132" s="28"/>
      <c r="V132" s="28"/>
      <c r="W132" s="27"/>
      <c r="X132" s="28"/>
      <c r="Y132" s="28"/>
      <c r="Z132" s="27"/>
      <c r="AA132" s="29"/>
      <c r="AB132" s="27"/>
      <c r="AC132" s="27"/>
      <c r="AD132" s="27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customFormat="false" ht="1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33"/>
      <c r="I133" s="33"/>
      <c r="J133" s="25"/>
      <c r="K133" s="33"/>
      <c r="L133" s="33"/>
      <c r="M133" s="25"/>
      <c r="N133" s="26"/>
      <c r="O133" s="26"/>
      <c r="P133" s="25"/>
      <c r="Q133" s="27"/>
      <c r="R133" s="28"/>
      <c r="S133" s="28"/>
      <c r="T133" s="27"/>
      <c r="U133" s="28"/>
      <c r="V133" s="28"/>
      <c r="W133" s="27"/>
      <c r="X133" s="28"/>
      <c r="Y133" s="28"/>
      <c r="Z133" s="27"/>
      <c r="AA133" s="29"/>
      <c r="AB133" s="27"/>
      <c r="AC133" s="27"/>
      <c r="AD133" s="27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customFormat="false" ht="1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33"/>
      <c r="I134" s="33"/>
      <c r="J134" s="25"/>
      <c r="K134" s="33"/>
      <c r="L134" s="33"/>
      <c r="M134" s="25"/>
      <c r="N134" s="26"/>
      <c r="O134" s="26"/>
      <c r="P134" s="25"/>
      <c r="Q134" s="27"/>
      <c r="R134" s="28"/>
      <c r="S134" s="28"/>
      <c r="T134" s="27"/>
      <c r="U134" s="28"/>
      <c r="V134" s="28"/>
      <c r="W134" s="27"/>
      <c r="X134" s="28"/>
      <c r="Y134" s="28"/>
      <c r="Z134" s="27"/>
      <c r="AA134" s="29"/>
      <c r="AB134" s="27"/>
      <c r="AC134" s="27"/>
      <c r="AD134" s="27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customFormat="false" ht="22.5" hidden="false" customHeight="true" outlineLevel="0" collapsed="false">
      <c r="D135" s="35" t="s">
        <v>41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6" t="n">
        <f aca="false">IF(COUNT($Q$11:$Q$134)=0,  0,  SUM($Q$11:$Q$134))</f>
        <v>0</v>
      </c>
      <c r="R135" s="37" t="s">
        <v>42</v>
      </c>
      <c r="S135" s="37"/>
      <c r="T135" s="37"/>
      <c r="U135" s="37"/>
      <c r="V135" s="37"/>
      <c r="W135" s="37"/>
      <c r="X135" s="37"/>
      <c r="Y135" s="37"/>
      <c r="Z135" s="37"/>
      <c r="AA135" s="36" t="str">
        <f aca="false">TEXT(INT($AG135/60),"00")  &amp; ":"  &amp; TEXT(MOD(INT($AG135),60),"00")  &amp; ":"  &amp; TEXT(ROUND(MOD($AG135*60,60),0),"00")</f>
        <v>00:00:00</v>
      </c>
      <c r="AB135" s="36" t="n">
        <f aca="false">IF(COUNT($AB$11:$AB$134)=0,0,  SUM($AB$11:$AB$134))</f>
        <v>0</v>
      </c>
      <c r="AC135" s="36" t="n">
        <f aca="false">IF(COUNT($AC$11:$AC$134)=0,0,  SUM($AC$11:$AC$134))</f>
        <v>0</v>
      </c>
      <c r="AD135" s="36" t="n">
        <f aca="false">IF(COUNT($AD$11:$AD$134)=0,0,  SUM($AD$11:$AD$134))</f>
        <v>0</v>
      </c>
      <c r="AE135" s="38" t="n">
        <f aca="false">SUM($AE$11:$AE$134)</f>
        <v>0</v>
      </c>
      <c r="AF135" s="38" t="n">
        <f aca="false">$AE$135/60</f>
        <v>0</v>
      </c>
      <c r="AG135" s="38" t="n">
        <f aca="false">SUM($AG$11:$AG$134)</f>
        <v>0</v>
      </c>
      <c r="AH135" s="38" t="n">
        <f aca="false">$AG$135/60</f>
        <v>0</v>
      </c>
      <c r="AI135" s="38" t="n">
        <f aca="false">SUM($AI$11:$AI$134)</f>
        <v>0</v>
      </c>
      <c r="AJ135" s="38" t="n">
        <f aca="false">$AI$135/60</f>
        <v>0</v>
      </c>
      <c r="AK135" s="38" t="n">
        <f aca="false">SUM($AK$11:$AK$134)</f>
        <v>0</v>
      </c>
      <c r="AL135" s="38" t="n">
        <f aca="false">$AK$135/60</f>
        <v>0</v>
      </c>
      <c r="AM135" s="38" t="n">
        <f aca="false">SUM($AM$11:$AM$134)</f>
        <v>0</v>
      </c>
      <c r="AN135" s="38" t="n">
        <f aca="false">$AM$135/60</f>
        <v>0</v>
      </c>
    </row>
    <row r="136" customFormat="false" ht="22.5" hidden="false" customHeight="true" outlineLevel="0" collapsed="false"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6"/>
      <c r="R136" s="37"/>
      <c r="S136" s="37"/>
      <c r="T136" s="37"/>
      <c r="U136" s="37"/>
      <c r="V136" s="37"/>
      <c r="W136" s="37"/>
      <c r="X136" s="37"/>
      <c r="Y136" s="37"/>
      <c r="Z136" s="37"/>
      <c r="AA136" s="36"/>
      <c r="AB136" s="36"/>
      <c r="AC136" s="36"/>
      <c r="AD136" s="36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</row>
    <row r="137" customFormat="false" ht="17.25" hidden="false" customHeight="true" outlineLevel="0" collapsed="false">
      <c r="E137" s="39"/>
      <c r="Q137" s="40"/>
      <c r="R137" s="41"/>
      <c r="AA137" s="42"/>
      <c r="AB137" s="40"/>
      <c r="AC137" s="42"/>
      <c r="AD137" s="42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</row>
    <row r="138" customFormat="false" ht="15" hidden="false" customHeight="true" outlineLevel="0" collapsed="false"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</row>
    <row r="139" customFormat="false" ht="44.25" hidden="false" customHeight="true" outlineLevel="0" collapsed="false">
      <c r="E139" s="17" t="s">
        <v>43</v>
      </c>
      <c r="F139" s="17"/>
      <c r="G139" s="17"/>
      <c r="H139" s="17"/>
      <c r="I139" s="17"/>
      <c r="AF139" s="38" t="n">
        <f aca="false">$AF$135 - ($Q$135*24)</f>
        <v>0</v>
      </c>
      <c r="AG139" s="38"/>
      <c r="AH139" s="38" t="n">
        <f aca="false">$AH$135 - ($AA$135*24)</f>
        <v>0</v>
      </c>
      <c r="AI139" s="43"/>
      <c r="AJ139" s="38" t="n">
        <f aca="false">$AJ$135 - ($AB$135*24)</f>
        <v>0</v>
      </c>
      <c r="AK139" s="43"/>
      <c r="AL139" s="38" t="n">
        <f aca="false">$AL$135 - ($AC$135*24)</f>
        <v>0</v>
      </c>
      <c r="AM139" s="43"/>
      <c r="AN139" s="38" t="n">
        <f aca="false">$AN$135 - ($AD$135*24)</f>
        <v>0</v>
      </c>
    </row>
    <row r="140" customFormat="false" ht="15" hidden="false" customHeight="true" outlineLevel="0" collapsed="false">
      <c r="E140" s="17"/>
      <c r="F140" s="17"/>
      <c r="G140" s="17"/>
      <c r="H140" s="17"/>
      <c r="I140" s="17"/>
      <c r="AF140" s="38"/>
      <c r="AG140" s="38"/>
      <c r="AH140" s="38"/>
      <c r="AI140" s="43"/>
      <c r="AJ140" s="38"/>
      <c r="AK140" s="43"/>
      <c r="AL140" s="38"/>
      <c r="AM140" s="43"/>
      <c r="AN140" s="38"/>
    </row>
    <row r="141" customFormat="false" ht="15" hidden="false" customHeight="true" outlineLevel="0" collapsed="false">
      <c r="E141" s="44" t="s">
        <v>44</v>
      </c>
      <c r="F141" s="44"/>
      <c r="G141" s="44"/>
      <c r="H141" s="44"/>
      <c r="I141" s="44"/>
      <c r="J141" s="44"/>
      <c r="K141" s="44"/>
      <c r="L141" s="44"/>
      <c r="AF141" s="38"/>
      <c r="AG141" s="38"/>
      <c r="AH141" s="38"/>
      <c r="AJ141" s="38"/>
      <c r="AL141" s="38"/>
      <c r="AN141" s="38"/>
    </row>
    <row r="142" customFormat="false" ht="15" hidden="false" customHeight="true" outlineLevel="0" collapsed="false">
      <c r="E142" s="44" t="s">
        <v>45</v>
      </c>
      <c r="F142" s="44"/>
      <c r="G142" s="44"/>
      <c r="H142" s="44"/>
      <c r="AF142" s="38"/>
      <c r="AG142" s="38"/>
      <c r="AH142" s="38"/>
      <c r="AJ142" s="38"/>
      <c r="AL142" s="38"/>
      <c r="AN142" s="38"/>
    </row>
    <row r="143" customFormat="false" ht="15" hidden="false" customHeight="true" outlineLevel="0" collapsed="false">
      <c r="AF143" s="38"/>
      <c r="AG143" s="38"/>
      <c r="AH143" s="38"/>
      <c r="AJ143" s="38"/>
      <c r="AL143" s="38"/>
      <c r="AN143" s="38"/>
    </row>
    <row r="144" customFormat="false" ht="15" hidden="false" customHeight="true" outlineLevel="0" collapsed="false">
      <c r="E144" s="45" t="s">
        <v>46</v>
      </c>
      <c r="F144" s="45"/>
      <c r="G144" s="45"/>
      <c r="H144" s="45"/>
      <c r="I144" s="45"/>
      <c r="J144" s="45"/>
      <c r="K144" s="45"/>
      <c r="L144" s="45"/>
      <c r="AF144" s="38"/>
      <c r="AG144" s="38"/>
      <c r="AH144" s="38"/>
      <c r="AJ144" s="38"/>
      <c r="AL144" s="38"/>
      <c r="AN144" s="38"/>
    </row>
    <row r="145" customFormat="false" ht="15" hidden="false" customHeight="true" outlineLevel="0" collapsed="false">
      <c r="AF145" s="38"/>
      <c r="AG145" s="38"/>
      <c r="AH145" s="38"/>
      <c r="AJ145" s="38"/>
      <c r="AL145" s="38"/>
      <c r="AN145" s="38"/>
    </row>
    <row r="146" customFormat="false" ht="15" hidden="false" customHeight="true" outlineLevel="0" collapsed="false">
      <c r="E146" s="46" t="s">
        <v>47</v>
      </c>
    </row>
    <row r="147" customFormat="false" ht="15" hidden="false" customHeight="true" outlineLevel="0" collapsed="false">
      <c r="E147" s="46"/>
    </row>
    <row r="148" customFormat="false" ht="15" hidden="false" customHeight="true" outlineLevel="0" collapsed="false">
      <c r="E148" s="44" t="s">
        <v>48</v>
      </c>
      <c r="F148" s="44"/>
      <c r="G148" s="44"/>
      <c r="H148" s="44"/>
      <c r="I148" s="44"/>
    </row>
    <row r="150" customFormat="false" ht="15" hidden="false" customHeight="true" outlineLevel="0" collapsed="false">
      <c r="E150" s="45" t="s">
        <v>49</v>
      </c>
      <c r="F150" s="45"/>
      <c r="G150" s="45"/>
      <c r="H150" s="45"/>
      <c r="I150" s="45"/>
    </row>
    <row r="152" customFormat="false" ht="15" hidden="false" customHeight="true" outlineLevel="0" collapsed="false">
      <c r="E152" s="45" t="s">
        <v>50</v>
      </c>
      <c r="F152" s="45"/>
      <c r="G152" s="45"/>
      <c r="H152" s="45"/>
      <c r="I152" s="45"/>
      <c r="J152" s="45"/>
    </row>
    <row r="154" customFormat="false" ht="15" hidden="false" customHeight="true" outlineLevel="0" collapsed="false">
      <c r="E154" s="45" t="s">
        <v>51</v>
      </c>
      <c r="F154" s="45"/>
      <c r="G154" s="45"/>
    </row>
    <row r="156" customFormat="false" ht="15" hidden="false" customHeight="true" outlineLevel="0" collapsed="false">
      <c r="E156" s="46" t="s">
        <v>47</v>
      </c>
    </row>
    <row r="158" customFormat="false" ht="15" hidden="false" customHeight="true" outlineLevel="0" collapsed="false">
      <c r="E158" s="44" t="s">
        <v>52</v>
      </c>
      <c r="F158" s="44"/>
      <c r="G158" s="44"/>
    </row>
    <row r="160" customFormat="false" ht="15" hidden="false" customHeight="true" outlineLevel="0" collapsed="false">
      <c r="E160" s="45" t="s">
        <v>53</v>
      </c>
      <c r="F160" s="45"/>
      <c r="G160" s="45"/>
      <c r="H160" s="45"/>
    </row>
    <row r="162" customFormat="false" ht="15" hidden="false" customHeight="true" outlineLevel="0" collapsed="false">
      <c r="E162" s="45" t="s">
        <v>54</v>
      </c>
      <c r="F162" s="45"/>
      <c r="G162" s="45"/>
      <c r="H162" s="45"/>
      <c r="I162" s="45"/>
    </row>
    <row r="164" customFormat="false" ht="15" hidden="false" customHeight="true" outlineLevel="0" collapsed="false">
      <c r="E164" s="45" t="s">
        <v>55</v>
      </c>
      <c r="F164" s="45"/>
      <c r="G164" s="45"/>
      <c r="H164" s="45"/>
    </row>
    <row r="166" customFormat="false" ht="15" hidden="false" customHeight="true" outlineLevel="0" collapsed="false">
      <c r="E166" s="45" t="s">
        <v>56</v>
      </c>
      <c r="F166" s="45"/>
      <c r="G166" s="45"/>
      <c r="H166" s="45"/>
      <c r="I166" s="45"/>
    </row>
    <row r="168" customFormat="false" ht="15" hidden="false" customHeight="true" outlineLevel="0" collapsed="false">
      <c r="E168" s="46" t="s">
        <v>47</v>
      </c>
    </row>
    <row r="170" customFormat="false" ht="15" hidden="false" customHeight="true" outlineLevel="0" collapsed="false">
      <c r="E170" s="44" t="s">
        <v>57</v>
      </c>
      <c r="F170" s="44"/>
      <c r="G170" s="44"/>
    </row>
    <row r="172" customFormat="false" ht="15" hidden="false" customHeight="true" outlineLevel="0" collapsed="false">
      <c r="E172" s="45" t="s">
        <v>58</v>
      </c>
      <c r="F172" s="45"/>
      <c r="G172" s="45"/>
      <c r="H172" s="45"/>
      <c r="I172" s="45"/>
    </row>
    <row r="174" customFormat="false" ht="15" hidden="false" customHeight="true" outlineLevel="0" collapsed="false">
      <c r="E174" s="45" t="s">
        <v>59</v>
      </c>
      <c r="F174" s="45"/>
      <c r="G174" s="45"/>
    </row>
    <row r="176" customFormat="false" ht="15" hidden="false" customHeight="true" outlineLevel="0" collapsed="false">
      <c r="E176" s="45" t="s">
        <v>60</v>
      </c>
      <c r="F176" s="45"/>
      <c r="G176" s="45"/>
    </row>
    <row r="178" customFormat="false" ht="15" hidden="false" customHeight="true" outlineLevel="0" collapsed="false">
      <c r="E178" s="45" t="s">
        <v>61</v>
      </c>
      <c r="F178" s="45"/>
      <c r="G178" s="45"/>
    </row>
    <row r="180" customFormat="false" ht="15" hidden="false" customHeight="true" outlineLevel="0" collapsed="false">
      <c r="E180" s="45" t="s">
        <v>62</v>
      </c>
      <c r="F180" s="45"/>
      <c r="G180" s="45"/>
    </row>
    <row r="183" customFormat="false" ht="15" hidden="false" customHeight="true" outlineLevel="0" collapsed="false">
      <c r="E183" s="45" t="s">
        <v>63</v>
      </c>
      <c r="F183" s="45"/>
      <c r="G183" s="45"/>
      <c r="H183" s="45"/>
      <c r="I183" s="45"/>
      <c r="J183" s="45"/>
    </row>
    <row r="185" customFormat="false" ht="15" hidden="false" customHeight="true" outlineLevel="0" collapsed="false">
      <c r="E185" s="44" t="s">
        <v>64</v>
      </c>
      <c r="F185" s="44"/>
      <c r="G185" s="44"/>
    </row>
    <row r="187" customFormat="false" ht="15" hidden="false" customHeight="true" outlineLevel="0" collapsed="false">
      <c r="E187" s="45" t="s">
        <v>65</v>
      </c>
      <c r="F187" s="45"/>
      <c r="G187" s="45"/>
    </row>
    <row r="189" customFormat="false" ht="15" hidden="false" customHeight="true" outlineLevel="0" collapsed="false">
      <c r="E189" s="45" t="s">
        <v>66</v>
      </c>
      <c r="F189" s="45"/>
      <c r="G189" s="45"/>
    </row>
    <row r="191" customFormat="false" ht="15" hidden="false" customHeight="true" outlineLevel="0" collapsed="false">
      <c r="E191" s="45" t="s">
        <v>67</v>
      </c>
      <c r="F191" s="45"/>
      <c r="G191" s="45"/>
    </row>
    <row r="193" customFormat="false" ht="15" hidden="false" customHeight="true" outlineLevel="0" collapsed="false">
      <c r="E193" s="45" t="s">
        <v>68</v>
      </c>
      <c r="F193" s="45"/>
      <c r="G193" s="45"/>
      <c r="H193" s="45"/>
    </row>
    <row r="195" customFormat="false" ht="15" hidden="false" customHeight="true" outlineLevel="0" collapsed="false">
      <c r="E195" s="46" t="s">
        <v>47</v>
      </c>
    </row>
    <row r="197" customFormat="false" ht="15" hidden="false" customHeight="true" outlineLevel="0" collapsed="false">
      <c r="E197" s="44" t="s">
        <v>69</v>
      </c>
      <c r="F197" s="44"/>
      <c r="G197" s="44"/>
    </row>
    <row r="199" customFormat="false" ht="15" hidden="false" customHeight="true" outlineLevel="0" collapsed="false">
      <c r="E199" s="45" t="s">
        <v>70</v>
      </c>
      <c r="F199" s="45"/>
      <c r="G199" s="45"/>
      <c r="H199" s="45"/>
      <c r="I199" s="45"/>
    </row>
    <row r="201" customFormat="false" ht="15" hidden="false" customHeight="true" outlineLevel="0" collapsed="false">
      <c r="E201" s="44" t="s">
        <v>71</v>
      </c>
      <c r="F201" s="44"/>
      <c r="G201" s="44"/>
    </row>
    <row r="203" customFormat="false" ht="15" hidden="false" customHeight="true" outlineLevel="0" collapsed="false">
      <c r="E203" s="45" t="s">
        <v>72</v>
      </c>
      <c r="F203" s="45"/>
      <c r="G203" s="45"/>
    </row>
    <row r="204" customFormat="false" ht="15" hidden="false" customHeight="true" outlineLevel="0" collapsed="false">
      <c r="E204" s="45" t="s">
        <v>73</v>
      </c>
      <c r="F204" s="45"/>
      <c r="G204" s="45"/>
    </row>
    <row r="206" customFormat="false" ht="15" hidden="false" customHeight="true" outlineLevel="0" collapsed="false">
      <c r="E206" s="44" t="s">
        <v>74</v>
      </c>
      <c r="F206" s="44"/>
      <c r="G206" s="44"/>
    </row>
    <row r="208" customFormat="false" ht="15" hidden="false" customHeight="true" outlineLevel="0" collapsed="false">
      <c r="E208" s="45" t="s">
        <v>75</v>
      </c>
      <c r="F208" s="45"/>
      <c r="G208" s="45"/>
    </row>
    <row r="209" customFormat="false" ht="15" hidden="false" customHeight="true" outlineLevel="0" collapsed="false">
      <c r="E209" s="45" t="s">
        <v>76</v>
      </c>
      <c r="F209" s="45"/>
      <c r="G209" s="45"/>
      <c r="H209" s="45"/>
    </row>
    <row r="211" customFormat="false" ht="15" hidden="false" customHeight="true" outlineLevel="0" collapsed="false">
      <c r="E211" s="44" t="s">
        <v>77</v>
      </c>
      <c r="F211" s="44"/>
      <c r="G211" s="44"/>
    </row>
    <row r="213" customFormat="false" ht="15" hidden="false" customHeight="true" outlineLevel="0" collapsed="false">
      <c r="E213" s="45" t="s">
        <v>78</v>
      </c>
      <c r="F213" s="45"/>
      <c r="G213" s="45"/>
    </row>
    <row r="214" customFormat="false" ht="15" hidden="false" customHeight="true" outlineLevel="0" collapsed="false">
      <c r="E214" s="45" t="s">
        <v>79</v>
      </c>
      <c r="F214" s="45"/>
      <c r="G214" s="45"/>
      <c r="H214" s="45"/>
    </row>
    <row r="216" customFormat="false" ht="15" hidden="false" customHeight="true" outlineLevel="0" collapsed="false">
      <c r="E216" s="44" t="s">
        <v>80</v>
      </c>
      <c r="F216" s="44"/>
      <c r="G216" s="44"/>
    </row>
    <row r="218" customFormat="false" ht="15" hidden="false" customHeight="true" outlineLevel="0" collapsed="false">
      <c r="E218" s="45" t="s">
        <v>81</v>
      </c>
      <c r="F218" s="45"/>
      <c r="G218" s="45"/>
    </row>
    <row r="219" customFormat="false" ht="15" hidden="false" customHeight="true" outlineLevel="0" collapsed="false">
      <c r="E219" s="45" t="s">
        <v>82</v>
      </c>
      <c r="F219" s="45"/>
      <c r="G219" s="45"/>
      <c r="H219" s="45"/>
    </row>
    <row r="221" customFormat="false" ht="15" hidden="false" customHeight="true" outlineLevel="0" collapsed="false">
      <c r="E221" s="46" t="s">
        <v>47</v>
      </c>
    </row>
    <row r="222" customFormat="false" ht="15" hidden="false" customHeight="true" outlineLevel="0" collapsed="false">
      <c r="E222" s="46"/>
    </row>
    <row r="223" customFormat="false" ht="15" hidden="false" customHeight="true" outlineLevel="0" collapsed="false">
      <c r="E223" s="44" t="s">
        <v>83</v>
      </c>
      <c r="F223" s="44"/>
    </row>
    <row r="224" customFormat="false" ht="15" hidden="false" customHeight="true" outlineLevel="0" collapsed="false">
      <c r="E224" s="46"/>
    </row>
    <row r="225" customFormat="false" ht="15" hidden="false" customHeight="true" outlineLevel="0" collapsed="false">
      <c r="E225" s="47" t="s">
        <v>84</v>
      </c>
      <c r="F225" s="48"/>
      <c r="G225" s="48"/>
      <c r="H225" s="48"/>
      <c r="I225" s="48"/>
      <c r="J225" s="48"/>
      <c r="K225" s="48"/>
      <c r="L225" s="48"/>
      <c r="M225" s="49"/>
    </row>
    <row r="226" customFormat="false" ht="15" hidden="false" customHeight="true" outlineLevel="0" collapsed="false">
      <c r="E226" s="50" t="s">
        <v>85</v>
      </c>
      <c r="F226" s="50"/>
      <c r="G226" s="50"/>
      <c r="H226" s="48"/>
      <c r="I226" s="48"/>
      <c r="J226" s="48"/>
      <c r="K226" s="48"/>
      <c r="L226" s="48"/>
      <c r="M226" s="49"/>
    </row>
    <row r="227" customFormat="false" ht="15" hidden="false" customHeight="true" outlineLevel="0" collapsed="false">
      <c r="E227" s="48"/>
      <c r="F227" s="48"/>
      <c r="G227" s="48"/>
      <c r="H227" s="48"/>
      <c r="I227" s="48"/>
      <c r="J227" s="48"/>
      <c r="K227" s="48"/>
      <c r="L227" s="48"/>
      <c r="M227" s="49"/>
    </row>
    <row r="228" customFormat="false" ht="15" hidden="false" customHeight="true" outlineLevel="0" collapsed="false">
      <c r="E228" s="51" t="s">
        <v>47</v>
      </c>
      <c r="F228" s="48"/>
      <c r="G228" s="48"/>
      <c r="H228" s="48"/>
      <c r="I228" s="48"/>
      <c r="J228" s="48"/>
      <c r="K228" s="48"/>
      <c r="L228" s="48"/>
      <c r="M228" s="49"/>
    </row>
    <row r="230" customFormat="false" ht="15" hidden="false" customHeight="true" outlineLevel="0" collapsed="false">
      <c r="E230" s="44" t="s">
        <v>86</v>
      </c>
      <c r="F230" s="44"/>
      <c r="G230" s="44"/>
    </row>
    <row r="232" customFormat="false" ht="15" hidden="false" customHeight="true" outlineLevel="0" collapsed="false">
      <c r="E232" s="45" t="s">
        <v>87</v>
      </c>
      <c r="F232" s="45"/>
      <c r="G232" s="45"/>
      <c r="H232" s="45"/>
      <c r="I232" s="45"/>
      <c r="J232" s="45"/>
    </row>
    <row r="233" customFormat="false" ht="15" hidden="false" customHeight="true" outlineLevel="0" collapsed="false">
      <c r="E233" s="45"/>
      <c r="F233" s="45"/>
      <c r="G233" s="45"/>
    </row>
    <row r="234" customFormat="false" ht="15" hidden="false" customHeight="true" outlineLevel="0" collapsed="false">
      <c r="E234" s="45" t="s">
        <v>88</v>
      </c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</row>
    <row r="236" customFormat="false" ht="15" hidden="false" customHeight="true" outlineLevel="0" collapsed="false">
      <c r="E236" s="45" t="s">
        <v>89</v>
      </c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</row>
    <row r="239" customFormat="false" ht="15" hidden="false" customHeight="true" outlineLevel="0" collapsed="false">
      <c r="E239" s="44" t="s">
        <v>90</v>
      </c>
      <c r="F239" s="44"/>
      <c r="G239" s="44"/>
      <c r="H239" s="44"/>
    </row>
    <row r="241" customFormat="false" ht="15" hidden="false" customHeight="true" outlineLevel="0" collapsed="false">
      <c r="E241" s="52" t="s">
        <v>91</v>
      </c>
      <c r="F241" s="52"/>
      <c r="G241" s="52"/>
      <c r="H241" s="52"/>
      <c r="I241" s="52"/>
      <c r="J241" s="52"/>
      <c r="K241" s="52"/>
      <c r="L241" s="52"/>
    </row>
    <row r="242" customFormat="false" ht="15" hidden="false" customHeight="true" outlineLevel="0" collapsed="false">
      <c r="E242" s="45" t="s">
        <v>92</v>
      </c>
      <c r="F242" s="45"/>
      <c r="G242" s="45"/>
      <c r="H242" s="45"/>
      <c r="I242" s="45"/>
      <c r="J242" s="45"/>
    </row>
    <row r="244" customFormat="false" ht="15" hidden="false" customHeight="true" outlineLevel="0" collapsed="false">
      <c r="E244" s="52" t="s">
        <v>93</v>
      </c>
      <c r="F244" s="52"/>
      <c r="G244" s="52"/>
      <c r="H244" s="52"/>
      <c r="I244" s="52"/>
      <c r="J244" s="52"/>
      <c r="K244" s="52"/>
      <c r="L244" s="52"/>
    </row>
    <row r="245" customFormat="false" ht="15" hidden="false" customHeight="true" outlineLevel="0" collapsed="false">
      <c r="E245" s="45" t="s">
        <v>94</v>
      </c>
      <c r="F245" s="45"/>
      <c r="G245" s="45"/>
      <c r="H245" s="45"/>
      <c r="I245" s="45"/>
      <c r="J245" s="45"/>
    </row>
    <row r="247" customFormat="false" ht="15" hidden="false" customHeight="true" outlineLevel="0" collapsed="false">
      <c r="E247" s="46" t="s">
        <v>47</v>
      </c>
    </row>
    <row r="249" customFormat="false" ht="15" hidden="false" customHeight="true" outlineLevel="0" collapsed="false">
      <c r="E249" s="44" t="s">
        <v>95</v>
      </c>
      <c r="F249" s="44"/>
    </row>
    <row r="251" customFormat="false" ht="15" hidden="false" customHeight="true" outlineLevel="0" collapsed="false">
      <c r="E251" s="45" t="s">
        <v>96</v>
      </c>
      <c r="F251" s="45"/>
      <c r="G251" s="45"/>
    </row>
    <row r="252" customFormat="false" ht="15" hidden="false" customHeight="true" outlineLevel="0" collapsed="false">
      <c r="E252" s="45" t="s">
        <v>97</v>
      </c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</row>
    <row r="254" customFormat="false" ht="15" hidden="false" customHeight="true" outlineLevel="0" collapsed="false">
      <c r="E254" s="44" t="s">
        <v>98</v>
      </c>
      <c r="F254" s="44"/>
      <c r="G254" s="44"/>
      <c r="H254" s="44"/>
      <c r="I254" s="44"/>
      <c r="J254" s="44"/>
    </row>
    <row r="256" customFormat="false" ht="15" hidden="false" customHeight="true" outlineLevel="0" collapsed="false">
      <c r="E256" s="45" t="s">
        <v>99</v>
      </c>
      <c r="F256" s="45"/>
      <c r="G256" s="45"/>
      <c r="H256" s="45"/>
      <c r="I256" s="45"/>
      <c r="J256" s="45"/>
      <c r="K256" s="45"/>
      <c r="L256" s="45"/>
      <c r="M256" s="45"/>
      <c r="N256" s="53"/>
      <c r="O256" s="53"/>
      <c r="P256" s="53"/>
    </row>
    <row r="257" customFormat="false" ht="15" hidden="false" customHeight="true" outlineLevel="0" collapsed="false">
      <c r="E257" s="45" t="s">
        <v>100</v>
      </c>
      <c r="F257" s="45"/>
      <c r="G257" s="45"/>
      <c r="H257" s="45"/>
    </row>
    <row r="259" customFormat="false" ht="15" hidden="false" customHeight="true" outlineLevel="0" collapsed="false">
      <c r="E259" s="51" t="s">
        <v>47</v>
      </c>
    </row>
    <row r="261" customFormat="false" ht="15" hidden="false" customHeight="true" outlineLevel="0" collapsed="false">
      <c r="E261" s="54" t="s">
        <v>101</v>
      </c>
    </row>
    <row r="262" customFormat="false" ht="15" hidden="false" customHeight="true" outlineLevel="0" collapsed="false">
      <c r="E262" s="44" t="s">
        <v>102</v>
      </c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4" customFormat="false" ht="15" hidden="false" customHeight="true" outlineLevel="0" collapsed="false">
      <c r="E264" s="45" t="s">
        <v>103</v>
      </c>
      <c r="F264" s="45"/>
      <c r="G264" s="45"/>
      <c r="H264" s="45"/>
      <c r="I264" s="45"/>
    </row>
  </sheetData>
  <mergeCells count="1381">
    <mergeCell ref="A1:A4"/>
    <mergeCell ref="B1:C2"/>
    <mergeCell ref="D1:J2"/>
    <mergeCell ref="K1:M1"/>
    <mergeCell ref="N1:Y1"/>
    <mergeCell ref="Z1:Z2"/>
    <mergeCell ref="AA1:AB2"/>
    <mergeCell ref="AC1:AC2"/>
    <mergeCell ref="AD1:AD2"/>
    <mergeCell ref="AE1:AE10"/>
    <mergeCell ref="AF1:AF10"/>
    <mergeCell ref="AG1:AG10"/>
    <mergeCell ref="AH1:AH10"/>
    <mergeCell ref="AI1:AI10"/>
    <mergeCell ref="AJ1:AJ10"/>
    <mergeCell ref="AK1:AK10"/>
    <mergeCell ref="AL1:AL10"/>
    <mergeCell ref="AM1:AM10"/>
    <mergeCell ref="AN1:AN10"/>
    <mergeCell ref="K2:M2"/>
    <mergeCell ref="N2:Y2"/>
    <mergeCell ref="D3:G4"/>
    <mergeCell ref="H3:J4"/>
    <mergeCell ref="K3:M4"/>
    <mergeCell ref="N3:P4"/>
    <mergeCell ref="Q3:Q10"/>
    <mergeCell ref="R3:T4"/>
    <mergeCell ref="U3:W4"/>
    <mergeCell ref="X3:Z4"/>
    <mergeCell ref="AA3:AA4"/>
    <mergeCell ref="AB3:AB10"/>
    <mergeCell ref="AC3:AC10"/>
    <mergeCell ref="AD3:AD10"/>
    <mergeCell ref="B4:C4"/>
    <mergeCell ref="A5:A10"/>
    <mergeCell ref="B5:B10"/>
    <mergeCell ref="C5:C10"/>
    <mergeCell ref="D5:D10"/>
    <mergeCell ref="E5:E10"/>
    <mergeCell ref="F5:F10"/>
    <mergeCell ref="G5:G10"/>
    <mergeCell ref="H5:H10"/>
    <mergeCell ref="I5:I10"/>
    <mergeCell ref="J5:J10"/>
    <mergeCell ref="K5:K10"/>
    <mergeCell ref="L5:L10"/>
    <mergeCell ref="M5:M10"/>
    <mergeCell ref="N5:N10"/>
    <mergeCell ref="O5:O10"/>
    <mergeCell ref="P5:P10"/>
    <mergeCell ref="R5:R10"/>
    <mergeCell ref="S5:S10"/>
    <mergeCell ref="T5:T10"/>
    <mergeCell ref="U5:U10"/>
    <mergeCell ref="V5:V10"/>
    <mergeCell ref="W5:W10"/>
    <mergeCell ref="X5:X10"/>
    <mergeCell ref="Y5:Y10"/>
    <mergeCell ref="Z5:Z10"/>
    <mergeCell ref="AA5:AA10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K11:K14"/>
    <mergeCell ref="L11:L14"/>
    <mergeCell ref="M11:M14"/>
    <mergeCell ref="N11:N14"/>
    <mergeCell ref="O11:O14"/>
    <mergeCell ref="P11:P14"/>
    <mergeCell ref="Q11:Q14"/>
    <mergeCell ref="R11:R14"/>
    <mergeCell ref="S11:S14"/>
    <mergeCell ref="T11:T14"/>
    <mergeCell ref="U11:U14"/>
    <mergeCell ref="V11:V14"/>
    <mergeCell ref="W11:W14"/>
    <mergeCell ref="X11:X14"/>
    <mergeCell ref="Y11:Y14"/>
    <mergeCell ref="Z11:Z14"/>
    <mergeCell ref="AA11:AA14"/>
    <mergeCell ref="AB11:AB14"/>
    <mergeCell ref="AC11:AC14"/>
    <mergeCell ref="AD11:AD14"/>
    <mergeCell ref="AE11:AE14"/>
    <mergeCell ref="AF11:AF14"/>
    <mergeCell ref="AG11:AG14"/>
    <mergeCell ref="AH11:AH14"/>
    <mergeCell ref="AI11:AI14"/>
    <mergeCell ref="AJ11:AJ14"/>
    <mergeCell ref="AK11:AK14"/>
    <mergeCell ref="AL11:AL14"/>
    <mergeCell ref="AM11:AM14"/>
    <mergeCell ref="AN11:AN14"/>
    <mergeCell ref="A15:A18"/>
    <mergeCell ref="B15:B18"/>
    <mergeCell ref="C15:C18"/>
    <mergeCell ref="D15:D18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N15:N18"/>
    <mergeCell ref="O15:O18"/>
    <mergeCell ref="P15:P18"/>
    <mergeCell ref="Q15:Q18"/>
    <mergeCell ref="R15:R18"/>
    <mergeCell ref="S15:S18"/>
    <mergeCell ref="T15:T18"/>
    <mergeCell ref="U15:U18"/>
    <mergeCell ref="V15:V18"/>
    <mergeCell ref="W15:W18"/>
    <mergeCell ref="X15:X18"/>
    <mergeCell ref="Y15:Y18"/>
    <mergeCell ref="Z15:Z18"/>
    <mergeCell ref="AA15:AA18"/>
    <mergeCell ref="AB15:AB18"/>
    <mergeCell ref="AC15:AC18"/>
    <mergeCell ref="AD15:AD18"/>
    <mergeCell ref="AE15:AE18"/>
    <mergeCell ref="AF15:AF18"/>
    <mergeCell ref="AG15:AG18"/>
    <mergeCell ref="AH15:AH18"/>
    <mergeCell ref="AI15:AI18"/>
    <mergeCell ref="AJ15:AJ18"/>
    <mergeCell ref="AK15:AK18"/>
    <mergeCell ref="AL15:AL18"/>
    <mergeCell ref="AM15:AM18"/>
    <mergeCell ref="AN15:AN18"/>
    <mergeCell ref="A19:A22"/>
    <mergeCell ref="B19:B22"/>
    <mergeCell ref="C19:C22"/>
    <mergeCell ref="D19:D22"/>
    <mergeCell ref="E19:E22"/>
    <mergeCell ref="F19:F22"/>
    <mergeCell ref="G19:G22"/>
    <mergeCell ref="H19:H22"/>
    <mergeCell ref="I19:I22"/>
    <mergeCell ref="J19:J22"/>
    <mergeCell ref="K19:K22"/>
    <mergeCell ref="L19:L22"/>
    <mergeCell ref="M19:M22"/>
    <mergeCell ref="N19:N22"/>
    <mergeCell ref="O19:O22"/>
    <mergeCell ref="P19:P22"/>
    <mergeCell ref="Q19:Q22"/>
    <mergeCell ref="R19:R22"/>
    <mergeCell ref="S19:S22"/>
    <mergeCell ref="T19:T22"/>
    <mergeCell ref="U19:U22"/>
    <mergeCell ref="V19:V22"/>
    <mergeCell ref="W19:W22"/>
    <mergeCell ref="X19:X22"/>
    <mergeCell ref="Y19:Y22"/>
    <mergeCell ref="Z19:Z22"/>
    <mergeCell ref="AA19:AA22"/>
    <mergeCell ref="AB19:AB22"/>
    <mergeCell ref="AC19:AC22"/>
    <mergeCell ref="AD19:AD22"/>
    <mergeCell ref="AE19:AE22"/>
    <mergeCell ref="AF19:AF22"/>
    <mergeCell ref="AG19:AG22"/>
    <mergeCell ref="AH19:AH22"/>
    <mergeCell ref="AI19:AI22"/>
    <mergeCell ref="AJ19:AJ22"/>
    <mergeCell ref="AK19:AK22"/>
    <mergeCell ref="AL19:AL22"/>
    <mergeCell ref="AM19:AM22"/>
    <mergeCell ref="AN19:AN22"/>
    <mergeCell ref="A23:A26"/>
    <mergeCell ref="B23:B26"/>
    <mergeCell ref="C23:C26"/>
    <mergeCell ref="D23:D26"/>
    <mergeCell ref="E23:E26"/>
    <mergeCell ref="F23:F26"/>
    <mergeCell ref="G23:G26"/>
    <mergeCell ref="H23:H26"/>
    <mergeCell ref="I23:I26"/>
    <mergeCell ref="J23:J26"/>
    <mergeCell ref="K23:K26"/>
    <mergeCell ref="L23:L26"/>
    <mergeCell ref="M23:M26"/>
    <mergeCell ref="N23:N26"/>
    <mergeCell ref="O23:O26"/>
    <mergeCell ref="P23:P26"/>
    <mergeCell ref="Q23:Q26"/>
    <mergeCell ref="R23:R26"/>
    <mergeCell ref="S23:S26"/>
    <mergeCell ref="T23:T26"/>
    <mergeCell ref="U23:U26"/>
    <mergeCell ref="V23:V26"/>
    <mergeCell ref="W23:W26"/>
    <mergeCell ref="X23:X26"/>
    <mergeCell ref="Y23:Y26"/>
    <mergeCell ref="Z23:Z26"/>
    <mergeCell ref="AA23:AA26"/>
    <mergeCell ref="AB23:AB26"/>
    <mergeCell ref="AC23:AC26"/>
    <mergeCell ref="AD23:AD26"/>
    <mergeCell ref="AE23:AE26"/>
    <mergeCell ref="AF23:AF26"/>
    <mergeCell ref="AG23:AG26"/>
    <mergeCell ref="AH23:AH26"/>
    <mergeCell ref="AI23:AI26"/>
    <mergeCell ref="AJ23:AJ26"/>
    <mergeCell ref="AK23:AK26"/>
    <mergeCell ref="AL23:AL26"/>
    <mergeCell ref="AM23:AM26"/>
    <mergeCell ref="AN23:AN26"/>
    <mergeCell ref="A27:A30"/>
    <mergeCell ref="B27:B30"/>
    <mergeCell ref="C27:C30"/>
    <mergeCell ref="D27:D30"/>
    <mergeCell ref="E27:E30"/>
    <mergeCell ref="F27:F30"/>
    <mergeCell ref="G27:G30"/>
    <mergeCell ref="H27:H30"/>
    <mergeCell ref="I27:I30"/>
    <mergeCell ref="J27:J30"/>
    <mergeCell ref="K27:K30"/>
    <mergeCell ref="L27:L30"/>
    <mergeCell ref="M27:M30"/>
    <mergeCell ref="N27:N30"/>
    <mergeCell ref="O27:O30"/>
    <mergeCell ref="P27:P30"/>
    <mergeCell ref="Q27:Q30"/>
    <mergeCell ref="R27:R30"/>
    <mergeCell ref="S27:S30"/>
    <mergeCell ref="T27:T30"/>
    <mergeCell ref="U27:U30"/>
    <mergeCell ref="V27:V30"/>
    <mergeCell ref="W27:W30"/>
    <mergeCell ref="X27:X30"/>
    <mergeCell ref="Y27:Y30"/>
    <mergeCell ref="Z27:Z30"/>
    <mergeCell ref="AA27:AA30"/>
    <mergeCell ref="AB27:AB30"/>
    <mergeCell ref="AC27:AC30"/>
    <mergeCell ref="AD27:AD30"/>
    <mergeCell ref="AE27:AE30"/>
    <mergeCell ref="AF27:AF30"/>
    <mergeCell ref="AG27:AG30"/>
    <mergeCell ref="AH27:AH30"/>
    <mergeCell ref="AI27:AI30"/>
    <mergeCell ref="AJ27:AJ30"/>
    <mergeCell ref="AK27:AK30"/>
    <mergeCell ref="AL27:AL30"/>
    <mergeCell ref="AM27:AM30"/>
    <mergeCell ref="AN27:AN30"/>
    <mergeCell ref="A31:A34"/>
    <mergeCell ref="B31:B34"/>
    <mergeCell ref="C31:C34"/>
    <mergeCell ref="D31:D34"/>
    <mergeCell ref="E31:E34"/>
    <mergeCell ref="F31:F34"/>
    <mergeCell ref="G31:G34"/>
    <mergeCell ref="H31:H34"/>
    <mergeCell ref="I31:I34"/>
    <mergeCell ref="J31:J34"/>
    <mergeCell ref="K31:K34"/>
    <mergeCell ref="L31:L34"/>
    <mergeCell ref="M31:M34"/>
    <mergeCell ref="N31:N34"/>
    <mergeCell ref="O31:O34"/>
    <mergeCell ref="P31:P34"/>
    <mergeCell ref="Q31:Q34"/>
    <mergeCell ref="R31:R34"/>
    <mergeCell ref="S31:S34"/>
    <mergeCell ref="T31:T34"/>
    <mergeCell ref="U31:U34"/>
    <mergeCell ref="V31:V34"/>
    <mergeCell ref="W31:W34"/>
    <mergeCell ref="X31:X34"/>
    <mergeCell ref="Y31:Y34"/>
    <mergeCell ref="Z31:Z34"/>
    <mergeCell ref="AA31:AA34"/>
    <mergeCell ref="AB31:AB34"/>
    <mergeCell ref="AC31:AC34"/>
    <mergeCell ref="AD31:AD34"/>
    <mergeCell ref="AE31:AE34"/>
    <mergeCell ref="AF31:AF34"/>
    <mergeCell ref="AG31:AG34"/>
    <mergeCell ref="AH31:AH34"/>
    <mergeCell ref="AI31:AI34"/>
    <mergeCell ref="AJ31:AJ34"/>
    <mergeCell ref="AK31:AK34"/>
    <mergeCell ref="AL31:AL34"/>
    <mergeCell ref="AM31:AM34"/>
    <mergeCell ref="AN31:AN34"/>
    <mergeCell ref="A35:A38"/>
    <mergeCell ref="B35:B38"/>
    <mergeCell ref="C35:C38"/>
    <mergeCell ref="D35:D38"/>
    <mergeCell ref="E35:E38"/>
    <mergeCell ref="F35:F38"/>
    <mergeCell ref="G35:G38"/>
    <mergeCell ref="H35:H38"/>
    <mergeCell ref="I35:I38"/>
    <mergeCell ref="J35:J38"/>
    <mergeCell ref="K35:K38"/>
    <mergeCell ref="L35:L38"/>
    <mergeCell ref="M35:M38"/>
    <mergeCell ref="N35:N38"/>
    <mergeCell ref="O35:O38"/>
    <mergeCell ref="P35:P38"/>
    <mergeCell ref="Q35:Q38"/>
    <mergeCell ref="R35:R38"/>
    <mergeCell ref="S35:S38"/>
    <mergeCell ref="T35:T38"/>
    <mergeCell ref="U35:U38"/>
    <mergeCell ref="V35:V38"/>
    <mergeCell ref="W35:W38"/>
    <mergeCell ref="X35:X38"/>
    <mergeCell ref="Y35:Y38"/>
    <mergeCell ref="Z35:Z38"/>
    <mergeCell ref="AA35:AA38"/>
    <mergeCell ref="AB35:AB38"/>
    <mergeCell ref="AC35:AC38"/>
    <mergeCell ref="AD35:AD38"/>
    <mergeCell ref="AE35:AE38"/>
    <mergeCell ref="AF35:AF38"/>
    <mergeCell ref="AG35:AG38"/>
    <mergeCell ref="AH35:AH38"/>
    <mergeCell ref="AI35:AI38"/>
    <mergeCell ref="AJ35:AJ38"/>
    <mergeCell ref="AK35:AK38"/>
    <mergeCell ref="AL35:AL38"/>
    <mergeCell ref="AM35:AM38"/>
    <mergeCell ref="AN35:AN38"/>
    <mergeCell ref="A39:A42"/>
    <mergeCell ref="B39:B42"/>
    <mergeCell ref="C39:C42"/>
    <mergeCell ref="D39:D42"/>
    <mergeCell ref="E39:E42"/>
    <mergeCell ref="F39:F42"/>
    <mergeCell ref="G39:G42"/>
    <mergeCell ref="H39:H42"/>
    <mergeCell ref="I39:I42"/>
    <mergeCell ref="J39:J42"/>
    <mergeCell ref="K39:K42"/>
    <mergeCell ref="L39:L42"/>
    <mergeCell ref="M39:M42"/>
    <mergeCell ref="N39:N42"/>
    <mergeCell ref="O39:O42"/>
    <mergeCell ref="P39:P42"/>
    <mergeCell ref="Q39:Q42"/>
    <mergeCell ref="R39:R42"/>
    <mergeCell ref="S39:S42"/>
    <mergeCell ref="T39:T42"/>
    <mergeCell ref="U39:U42"/>
    <mergeCell ref="V39:V42"/>
    <mergeCell ref="W39:W42"/>
    <mergeCell ref="X39:X42"/>
    <mergeCell ref="Y39:Y42"/>
    <mergeCell ref="Z39:Z42"/>
    <mergeCell ref="AA39:AA42"/>
    <mergeCell ref="AB39:AB42"/>
    <mergeCell ref="AC39:AC42"/>
    <mergeCell ref="AD39:AD42"/>
    <mergeCell ref="AE39:AE42"/>
    <mergeCell ref="AF39:AF42"/>
    <mergeCell ref="AG39:AG42"/>
    <mergeCell ref="AH39:AH42"/>
    <mergeCell ref="AI39:AI42"/>
    <mergeCell ref="AJ39:AJ42"/>
    <mergeCell ref="AK39:AK42"/>
    <mergeCell ref="AL39:AL42"/>
    <mergeCell ref="AM39:AM42"/>
    <mergeCell ref="AN39:AN42"/>
    <mergeCell ref="A43:A46"/>
    <mergeCell ref="B43:B46"/>
    <mergeCell ref="C43:C46"/>
    <mergeCell ref="D43:D46"/>
    <mergeCell ref="E43:E46"/>
    <mergeCell ref="F43:F46"/>
    <mergeCell ref="G43:G46"/>
    <mergeCell ref="H43:H46"/>
    <mergeCell ref="I43:I46"/>
    <mergeCell ref="J43:J46"/>
    <mergeCell ref="K43:K46"/>
    <mergeCell ref="L43:L46"/>
    <mergeCell ref="M43:M46"/>
    <mergeCell ref="N43:N46"/>
    <mergeCell ref="O43:O46"/>
    <mergeCell ref="P43:P46"/>
    <mergeCell ref="Q43:Q46"/>
    <mergeCell ref="R43:R46"/>
    <mergeCell ref="S43:S46"/>
    <mergeCell ref="T43:T46"/>
    <mergeCell ref="U43:U46"/>
    <mergeCell ref="V43:V46"/>
    <mergeCell ref="W43:W46"/>
    <mergeCell ref="X43:X46"/>
    <mergeCell ref="Y43:Y46"/>
    <mergeCell ref="Z43:Z46"/>
    <mergeCell ref="AA43:AA46"/>
    <mergeCell ref="AB43:AB46"/>
    <mergeCell ref="AC43:AC46"/>
    <mergeCell ref="AD43:AD46"/>
    <mergeCell ref="AE43:AE46"/>
    <mergeCell ref="AF43:AF46"/>
    <mergeCell ref="AG43:AG46"/>
    <mergeCell ref="AH43:AH46"/>
    <mergeCell ref="AI43:AI46"/>
    <mergeCell ref="AJ43:AJ46"/>
    <mergeCell ref="AK43:AK46"/>
    <mergeCell ref="AL43:AL46"/>
    <mergeCell ref="AM43:AM46"/>
    <mergeCell ref="AN43:AN46"/>
    <mergeCell ref="A47:A50"/>
    <mergeCell ref="B47:B50"/>
    <mergeCell ref="C47:C50"/>
    <mergeCell ref="D47:D50"/>
    <mergeCell ref="E47:E50"/>
    <mergeCell ref="F47:F50"/>
    <mergeCell ref="G47:G50"/>
    <mergeCell ref="H47:H50"/>
    <mergeCell ref="I47:I50"/>
    <mergeCell ref="J47:J50"/>
    <mergeCell ref="K47:K50"/>
    <mergeCell ref="L47:L50"/>
    <mergeCell ref="M47:M50"/>
    <mergeCell ref="N47:N50"/>
    <mergeCell ref="O47:O50"/>
    <mergeCell ref="P47:P50"/>
    <mergeCell ref="Q47:Q50"/>
    <mergeCell ref="R47:R50"/>
    <mergeCell ref="S47:S50"/>
    <mergeCell ref="T47:T50"/>
    <mergeCell ref="U47:U50"/>
    <mergeCell ref="V47:V50"/>
    <mergeCell ref="W47:W50"/>
    <mergeCell ref="X47:X50"/>
    <mergeCell ref="Y47:Y50"/>
    <mergeCell ref="Z47:Z50"/>
    <mergeCell ref="AA47:AA50"/>
    <mergeCell ref="AB47:AB50"/>
    <mergeCell ref="AC47:AC50"/>
    <mergeCell ref="AD47:AD50"/>
    <mergeCell ref="AE47:AE50"/>
    <mergeCell ref="AF47:AF50"/>
    <mergeCell ref="AG47:AG50"/>
    <mergeCell ref="AH47:AH50"/>
    <mergeCell ref="AI47:AI50"/>
    <mergeCell ref="AJ47:AJ50"/>
    <mergeCell ref="AK47:AK50"/>
    <mergeCell ref="AL47:AL50"/>
    <mergeCell ref="AM47:AM50"/>
    <mergeCell ref="AN47:AN50"/>
    <mergeCell ref="A51:A54"/>
    <mergeCell ref="B51:B54"/>
    <mergeCell ref="C51:C54"/>
    <mergeCell ref="D51:D54"/>
    <mergeCell ref="E51:E54"/>
    <mergeCell ref="F51:F54"/>
    <mergeCell ref="G51:G54"/>
    <mergeCell ref="H51:H54"/>
    <mergeCell ref="I51:I54"/>
    <mergeCell ref="J51:J54"/>
    <mergeCell ref="K51:K54"/>
    <mergeCell ref="L51:L54"/>
    <mergeCell ref="M51:M54"/>
    <mergeCell ref="N51:N54"/>
    <mergeCell ref="O51:O54"/>
    <mergeCell ref="P51:P54"/>
    <mergeCell ref="Q51:Q54"/>
    <mergeCell ref="R51:R54"/>
    <mergeCell ref="S51:S54"/>
    <mergeCell ref="T51:T54"/>
    <mergeCell ref="U51:U54"/>
    <mergeCell ref="V51:V54"/>
    <mergeCell ref="W51:W54"/>
    <mergeCell ref="X51:X54"/>
    <mergeCell ref="Y51:Y54"/>
    <mergeCell ref="Z51:Z54"/>
    <mergeCell ref="AA51:AA54"/>
    <mergeCell ref="AB51:AB54"/>
    <mergeCell ref="AC51:AC54"/>
    <mergeCell ref="AD51:AD54"/>
    <mergeCell ref="AE51:AE54"/>
    <mergeCell ref="AF51:AF54"/>
    <mergeCell ref="AG51:AG54"/>
    <mergeCell ref="AH51:AH54"/>
    <mergeCell ref="AI51:AI54"/>
    <mergeCell ref="AJ51:AJ54"/>
    <mergeCell ref="AK51:AK54"/>
    <mergeCell ref="AL51:AL54"/>
    <mergeCell ref="AM51:AM54"/>
    <mergeCell ref="AN51:AN54"/>
    <mergeCell ref="A55:A58"/>
    <mergeCell ref="B55:B58"/>
    <mergeCell ref="C55:C58"/>
    <mergeCell ref="D55:D58"/>
    <mergeCell ref="E55:E58"/>
    <mergeCell ref="F55:F58"/>
    <mergeCell ref="G55:G58"/>
    <mergeCell ref="H55:H58"/>
    <mergeCell ref="I55:I58"/>
    <mergeCell ref="J55:J58"/>
    <mergeCell ref="K55:K58"/>
    <mergeCell ref="L55:L58"/>
    <mergeCell ref="M55:M58"/>
    <mergeCell ref="N55:N58"/>
    <mergeCell ref="O55:O58"/>
    <mergeCell ref="P55:P58"/>
    <mergeCell ref="Q55:Q58"/>
    <mergeCell ref="R55:R58"/>
    <mergeCell ref="S55:S58"/>
    <mergeCell ref="T55:T58"/>
    <mergeCell ref="U55:U58"/>
    <mergeCell ref="V55:V58"/>
    <mergeCell ref="W55:W58"/>
    <mergeCell ref="X55:X58"/>
    <mergeCell ref="Y55:Y58"/>
    <mergeCell ref="Z55:Z58"/>
    <mergeCell ref="AA55:AA58"/>
    <mergeCell ref="AB55:AB58"/>
    <mergeCell ref="AC55:AC58"/>
    <mergeCell ref="AD55:AD58"/>
    <mergeCell ref="AE55:AE58"/>
    <mergeCell ref="AF55:AF58"/>
    <mergeCell ref="AG55:AG58"/>
    <mergeCell ref="AH55:AH58"/>
    <mergeCell ref="AI55:AI58"/>
    <mergeCell ref="AJ55:AJ58"/>
    <mergeCell ref="AK55:AK58"/>
    <mergeCell ref="AL55:AL58"/>
    <mergeCell ref="AM55:AM58"/>
    <mergeCell ref="AN55:AN58"/>
    <mergeCell ref="A59:A62"/>
    <mergeCell ref="B59:B62"/>
    <mergeCell ref="C59:C62"/>
    <mergeCell ref="D59:D62"/>
    <mergeCell ref="E59:E62"/>
    <mergeCell ref="F59:F62"/>
    <mergeCell ref="G59:G62"/>
    <mergeCell ref="H59:H62"/>
    <mergeCell ref="I59:I62"/>
    <mergeCell ref="J59:J62"/>
    <mergeCell ref="K59:K62"/>
    <mergeCell ref="L59:L62"/>
    <mergeCell ref="M59:M62"/>
    <mergeCell ref="N59:N62"/>
    <mergeCell ref="O59:O62"/>
    <mergeCell ref="P59:P62"/>
    <mergeCell ref="Q59:Q62"/>
    <mergeCell ref="R59:R62"/>
    <mergeCell ref="S59:S62"/>
    <mergeCell ref="T59:T62"/>
    <mergeCell ref="U59:U62"/>
    <mergeCell ref="V59:V62"/>
    <mergeCell ref="W59:W62"/>
    <mergeCell ref="X59:X62"/>
    <mergeCell ref="Y59:Y62"/>
    <mergeCell ref="Z59:Z62"/>
    <mergeCell ref="AA59:AA62"/>
    <mergeCell ref="AB59:AB62"/>
    <mergeCell ref="AC59:AC62"/>
    <mergeCell ref="AD59:AD62"/>
    <mergeCell ref="AE59:AE62"/>
    <mergeCell ref="AF59:AF62"/>
    <mergeCell ref="AG59:AG62"/>
    <mergeCell ref="AH59:AH62"/>
    <mergeCell ref="AI59:AI62"/>
    <mergeCell ref="AJ59:AJ62"/>
    <mergeCell ref="AK59:AK62"/>
    <mergeCell ref="AL59:AL62"/>
    <mergeCell ref="AM59:AM62"/>
    <mergeCell ref="AN59:AN62"/>
    <mergeCell ref="A63:A66"/>
    <mergeCell ref="B63:B66"/>
    <mergeCell ref="C63:C66"/>
    <mergeCell ref="D63:D66"/>
    <mergeCell ref="E63:E66"/>
    <mergeCell ref="F63:F66"/>
    <mergeCell ref="G63:G66"/>
    <mergeCell ref="H63:H66"/>
    <mergeCell ref="I63:I66"/>
    <mergeCell ref="J63:J66"/>
    <mergeCell ref="K63:K66"/>
    <mergeCell ref="L63:L66"/>
    <mergeCell ref="M63:M66"/>
    <mergeCell ref="N63:N66"/>
    <mergeCell ref="O63:O66"/>
    <mergeCell ref="P63:P66"/>
    <mergeCell ref="Q63:Q66"/>
    <mergeCell ref="R63:R66"/>
    <mergeCell ref="S63:S66"/>
    <mergeCell ref="T63:T66"/>
    <mergeCell ref="U63:U66"/>
    <mergeCell ref="V63:V66"/>
    <mergeCell ref="W63:W66"/>
    <mergeCell ref="X63:X66"/>
    <mergeCell ref="Y63:Y66"/>
    <mergeCell ref="Z63:Z66"/>
    <mergeCell ref="AA63:AA66"/>
    <mergeCell ref="AB63:AB66"/>
    <mergeCell ref="AC63:AC66"/>
    <mergeCell ref="AD63:AD66"/>
    <mergeCell ref="AE63:AE66"/>
    <mergeCell ref="AF63:AF66"/>
    <mergeCell ref="AG63:AG66"/>
    <mergeCell ref="AH63:AH66"/>
    <mergeCell ref="AI63:AI66"/>
    <mergeCell ref="AJ63:AJ66"/>
    <mergeCell ref="AK63:AK66"/>
    <mergeCell ref="AL63:AL66"/>
    <mergeCell ref="AM63:AM66"/>
    <mergeCell ref="AN63:AN66"/>
    <mergeCell ref="A67:A70"/>
    <mergeCell ref="B67:B70"/>
    <mergeCell ref="C67:C70"/>
    <mergeCell ref="D67:D70"/>
    <mergeCell ref="E67:E70"/>
    <mergeCell ref="F67:F70"/>
    <mergeCell ref="G67:G70"/>
    <mergeCell ref="H67:H70"/>
    <mergeCell ref="I67:I70"/>
    <mergeCell ref="J67:J70"/>
    <mergeCell ref="K67:K70"/>
    <mergeCell ref="L67:L70"/>
    <mergeCell ref="M67:M70"/>
    <mergeCell ref="N67:N70"/>
    <mergeCell ref="O67:O70"/>
    <mergeCell ref="P67:P70"/>
    <mergeCell ref="Q67:Q70"/>
    <mergeCell ref="R67:R70"/>
    <mergeCell ref="S67:S70"/>
    <mergeCell ref="T67:T70"/>
    <mergeCell ref="U67:U70"/>
    <mergeCell ref="V67:V70"/>
    <mergeCell ref="W67:W70"/>
    <mergeCell ref="X67:X70"/>
    <mergeCell ref="Y67:Y70"/>
    <mergeCell ref="Z67:Z70"/>
    <mergeCell ref="AA67:AA70"/>
    <mergeCell ref="AB67:AB70"/>
    <mergeCell ref="AC67:AC70"/>
    <mergeCell ref="AD67:AD70"/>
    <mergeCell ref="AE67:AE70"/>
    <mergeCell ref="AF67:AF70"/>
    <mergeCell ref="AG67:AG70"/>
    <mergeCell ref="AH67:AH70"/>
    <mergeCell ref="AI67:AI70"/>
    <mergeCell ref="AJ67:AJ70"/>
    <mergeCell ref="AK67:AK70"/>
    <mergeCell ref="AL67:AL70"/>
    <mergeCell ref="AM67:AM70"/>
    <mergeCell ref="AN67:AN70"/>
    <mergeCell ref="A71:A74"/>
    <mergeCell ref="B71:B74"/>
    <mergeCell ref="C71:C74"/>
    <mergeCell ref="D71:D74"/>
    <mergeCell ref="E71:E74"/>
    <mergeCell ref="F71:F74"/>
    <mergeCell ref="G71:G74"/>
    <mergeCell ref="H71:H74"/>
    <mergeCell ref="I71:I74"/>
    <mergeCell ref="J71:J74"/>
    <mergeCell ref="K71:K74"/>
    <mergeCell ref="L71:L74"/>
    <mergeCell ref="M71:M74"/>
    <mergeCell ref="N71:N74"/>
    <mergeCell ref="O71:O74"/>
    <mergeCell ref="P71:P74"/>
    <mergeCell ref="Q71:Q74"/>
    <mergeCell ref="R71:R74"/>
    <mergeCell ref="S71:S74"/>
    <mergeCell ref="T71:T74"/>
    <mergeCell ref="U71:U74"/>
    <mergeCell ref="V71:V74"/>
    <mergeCell ref="W71:W74"/>
    <mergeCell ref="X71:X74"/>
    <mergeCell ref="Y71:Y74"/>
    <mergeCell ref="Z71:Z74"/>
    <mergeCell ref="AA71:AA74"/>
    <mergeCell ref="AB71:AB74"/>
    <mergeCell ref="AC71:AC74"/>
    <mergeCell ref="AD71:AD74"/>
    <mergeCell ref="AE71:AE74"/>
    <mergeCell ref="AF71:AF74"/>
    <mergeCell ref="AG71:AG74"/>
    <mergeCell ref="AH71:AH74"/>
    <mergeCell ref="AI71:AI74"/>
    <mergeCell ref="AJ71:AJ74"/>
    <mergeCell ref="AK71:AK74"/>
    <mergeCell ref="AL71:AL74"/>
    <mergeCell ref="AM71:AM74"/>
    <mergeCell ref="AN71:AN74"/>
    <mergeCell ref="A75:A78"/>
    <mergeCell ref="B75:B78"/>
    <mergeCell ref="C75:C78"/>
    <mergeCell ref="D75:D78"/>
    <mergeCell ref="E75:E78"/>
    <mergeCell ref="F75:F78"/>
    <mergeCell ref="G75:G78"/>
    <mergeCell ref="H75:H78"/>
    <mergeCell ref="I75:I78"/>
    <mergeCell ref="J75:J78"/>
    <mergeCell ref="K75:K78"/>
    <mergeCell ref="L75:L78"/>
    <mergeCell ref="M75:M78"/>
    <mergeCell ref="N75:N78"/>
    <mergeCell ref="O75:O78"/>
    <mergeCell ref="P75:P78"/>
    <mergeCell ref="Q75:Q78"/>
    <mergeCell ref="R75:R78"/>
    <mergeCell ref="S75:S78"/>
    <mergeCell ref="T75:T78"/>
    <mergeCell ref="U75:U78"/>
    <mergeCell ref="V75:V78"/>
    <mergeCell ref="W75:W78"/>
    <mergeCell ref="X75:X78"/>
    <mergeCell ref="Y75:Y78"/>
    <mergeCell ref="Z75:Z78"/>
    <mergeCell ref="AA75:AA78"/>
    <mergeCell ref="AB75:AB78"/>
    <mergeCell ref="AC75:AC78"/>
    <mergeCell ref="AD75:AD78"/>
    <mergeCell ref="AE75:AE78"/>
    <mergeCell ref="AF75:AF78"/>
    <mergeCell ref="AG75:AG78"/>
    <mergeCell ref="AH75:AH78"/>
    <mergeCell ref="AI75:AI78"/>
    <mergeCell ref="AJ75:AJ78"/>
    <mergeCell ref="AK75:AK78"/>
    <mergeCell ref="AL75:AL78"/>
    <mergeCell ref="AM75:AM78"/>
    <mergeCell ref="AN75:AN78"/>
    <mergeCell ref="A79:A82"/>
    <mergeCell ref="B79:B82"/>
    <mergeCell ref="C79:C82"/>
    <mergeCell ref="D79:D82"/>
    <mergeCell ref="E79:E82"/>
    <mergeCell ref="F79:F82"/>
    <mergeCell ref="G79:G82"/>
    <mergeCell ref="H79:H82"/>
    <mergeCell ref="I79:I82"/>
    <mergeCell ref="J79:J82"/>
    <mergeCell ref="K79:K82"/>
    <mergeCell ref="L79:L82"/>
    <mergeCell ref="M79:M82"/>
    <mergeCell ref="N79:N82"/>
    <mergeCell ref="O79:O82"/>
    <mergeCell ref="P79:P82"/>
    <mergeCell ref="Q79:Q82"/>
    <mergeCell ref="R79:R82"/>
    <mergeCell ref="S79:S82"/>
    <mergeCell ref="T79:T82"/>
    <mergeCell ref="U79:U82"/>
    <mergeCell ref="V79:V82"/>
    <mergeCell ref="W79:W82"/>
    <mergeCell ref="X79:X82"/>
    <mergeCell ref="Y79:Y82"/>
    <mergeCell ref="Z79:Z82"/>
    <mergeCell ref="AA79:AA82"/>
    <mergeCell ref="AB79:AB82"/>
    <mergeCell ref="AC79:AC82"/>
    <mergeCell ref="AD79:AD82"/>
    <mergeCell ref="AE79:AE82"/>
    <mergeCell ref="AF79:AF82"/>
    <mergeCell ref="AG79:AG82"/>
    <mergeCell ref="AH79:AH82"/>
    <mergeCell ref="AI79:AI82"/>
    <mergeCell ref="AJ79:AJ82"/>
    <mergeCell ref="AK79:AK82"/>
    <mergeCell ref="AL79:AL82"/>
    <mergeCell ref="AM79:AM82"/>
    <mergeCell ref="AN79:AN82"/>
    <mergeCell ref="A83:A86"/>
    <mergeCell ref="B83:B86"/>
    <mergeCell ref="C83:C86"/>
    <mergeCell ref="D83:D86"/>
    <mergeCell ref="E83:E86"/>
    <mergeCell ref="F83:F86"/>
    <mergeCell ref="G83:G86"/>
    <mergeCell ref="H83:H86"/>
    <mergeCell ref="I83:I86"/>
    <mergeCell ref="J83:J86"/>
    <mergeCell ref="K83:K86"/>
    <mergeCell ref="L83:L86"/>
    <mergeCell ref="M83:M86"/>
    <mergeCell ref="N83:N86"/>
    <mergeCell ref="O83:O86"/>
    <mergeCell ref="P83:P86"/>
    <mergeCell ref="Q83:Q86"/>
    <mergeCell ref="R83:R86"/>
    <mergeCell ref="S83:S86"/>
    <mergeCell ref="T83:T86"/>
    <mergeCell ref="U83:U86"/>
    <mergeCell ref="V83:V86"/>
    <mergeCell ref="W83:W86"/>
    <mergeCell ref="X83:X86"/>
    <mergeCell ref="Y83:Y86"/>
    <mergeCell ref="Z83:Z86"/>
    <mergeCell ref="AA83:AA86"/>
    <mergeCell ref="AB83:AB86"/>
    <mergeCell ref="AC83:AC86"/>
    <mergeCell ref="AD83:AD86"/>
    <mergeCell ref="AE83:AE86"/>
    <mergeCell ref="AF83:AF86"/>
    <mergeCell ref="AG83:AG86"/>
    <mergeCell ref="AH83:AH86"/>
    <mergeCell ref="AI83:AI86"/>
    <mergeCell ref="AJ83:AJ86"/>
    <mergeCell ref="AK83:AK86"/>
    <mergeCell ref="AL83:AL86"/>
    <mergeCell ref="AM83:AM86"/>
    <mergeCell ref="AN83:AN86"/>
    <mergeCell ref="A87:A90"/>
    <mergeCell ref="B87:B90"/>
    <mergeCell ref="C87:C90"/>
    <mergeCell ref="D87:D90"/>
    <mergeCell ref="E87:E90"/>
    <mergeCell ref="F87:F90"/>
    <mergeCell ref="G87:G90"/>
    <mergeCell ref="H87:H90"/>
    <mergeCell ref="I87:I90"/>
    <mergeCell ref="J87:J90"/>
    <mergeCell ref="K87:K90"/>
    <mergeCell ref="L87:L90"/>
    <mergeCell ref="M87:M90"/>
    <mergeCell ref="N87:N90"/>
    <mergeCell ref="O87:O90"/>
    <mergeCell ref="P87:P90"/>
    <mergeCell ref="Q87:Q90"/>
    <mergeCell ref="R87:R90"/>
    <mergeCell ref="S87:S90"/>
    <mergeCell ref="T87:T90"/>
    <mergeCell ref="U87:U90"/>
    <mergeCell ref="V87:V90"/>
    <mergeCell ref="W87:W90"/>
    <mergeCell ref="X87:X90"/>
    <mergeCell ref="Y87:Y90"/>
    <mergeCell ref="Z87:Z90"/>
    <mergeCell ref="AA87:AA90"/>
    <mergeCell ref="AB87:AB90"/>
    <mergeCell ref="AC87:AC90"/>
    <mergeCell ref="AD87:AD90"/>
    <mergeCell ref="AE87:AE90"/>
    <mergeCell ref="AF87:AF90"/>
    <mergeCell ref="AG87:AG90"/>
    <mergeCell ref="AH87:AH90"/>
    <mergeCell ref="AI87:AI90"/>
    <mergeCell ref="AJ87:AJ90"/>
    <mergeCell ref="AK87:AK90"/>
    <mergeCell ref="AL87:AL90"/>
    <mergeCell ref="AM87:AM90"/>
    <mergeCell ref="AN87:AN90"/>
    <mergeCell ref="A91:A94"/>
    <mergeCell ref="B91:B94"/>
    <mergeCell ref="C91:C94"/>
    <mergeCell ref="D91:D94"/>
    <mergeCell ref="E91:E94"/>
    <mergeCell ref="F91:F94"/>
    <mergeCell ref="G91:G94"/>
    <mergeCell ref="H91:H94"/>
    <mergeCell ref="I91:I94"/>
    <mergeCell ref="J91:J94"/>
    <mergeCell ref="K91:K94"/>
    <mergeCell ref="L91:L94"/>
    <mergeCell ref="M91:M94"/>
    <mergeCell ref="N91:N94"/>
    <mergeCell ref="O91:O94"/>
    <mergeCell ref="P91:P94"/>
    <mergeCell ref="Q91:Q94"/>
    <mergeCell ref="R91:R94"/>
    <mergeCell ref="S91:S94"/>
    <mergeCell ref="T91:T94"/>
    <mergeCell ref="U91:U94"/>
    <mergeCell ref="V91:V94"/>
    <mergeCell ref="W91:W94"/>
    <mergeCell ref="X91:X94"/>
    <mergeCell ref="Y91:Y94"/>
    <mergeCell ref="Z91:Z94"/>
    <mergeCell ref="AA91:AA94"/>
    <mergeCell ref="AB91:AB94"/>
    <mergeCell ref="AC91:AC94"/>
    <mergeCell ref="AD91:AD94"/>
    <mergeCell ref="AE91:AE94"/>
    <mergeCell ref="AF91:AF94"/>
    <mergeCell ref="AG91:AG94"/>
    <mergeCell ref="AH91:AH94"/>
    <mergeCell ref="AI91:AI94"/>
    <mergeCell ref="AJ91:AJ94"/>
    <mergeCell ref="AK91:AK94"/>
    <mergeCell ref="AL91:AL94"/>
    <mergeCell ref="AM91:AM94"/>
    <mergeCell ref="AN91:AN94"/>
    <mergeCell ref="A95:A98"/>
    <mergeCell ref="B95:B98"/>
    <mergeCell ref="C95:C98"/>
    <mergeCell ref="D95:D98"/>
    <mergeCell ref="E95:E98"/>
    <mergeCell ref="F95:F98"/>
    <mergeCell ref="G95:G98"/>
    <mergeCell ref="H95:H98"/>
    <mergeCell ref="I95:I98"/>
    <mergeCell ref="J95:J98"/>
    <mergeCell ref="K95:K98"/>
    <mergeCell ref="L95:L98"/>
    <mergeCell ref="M95:M98"/>
    <mergeCell ref="N95:N98"/>
    <mergeCell ref="O95:O98"/>
    <mergeCell ref="P95:P98"/>
    <mergeCell ref="Q95:Q98"/>
    <mergeCell ref="R95:R98"/>
    <mergeCell ref="S95:S98"/>
    <mergeCell ref="T95:T98"/>
    <mergeCell ref="U95:U98"/>
    <mergeCell ref="V95:V98"/>
    <mergeCell ref="W95:W98"/>
    <mergeCell ref="X95:X98"/>
    <mergeCell ref="Y95:Y98"/>
    <mergeCell ref="Z95:Z98"/>
    <mergeCell ref="AA95:AA98"/>
    <mergeCell ref="AB95:AB98"/>
    <mergeCell ref="AC95:AC98"/>
    <mergeCell ref="AD95:AD98"/>
    <mergeCell ref="AE95:AE98"/>
    <mergeCell ref="AF95:AF98"/>
    <mergeCell ref="AG95:AG98"/>
    <mergeCell ref="AH95:AH98"/>
    <mergeCell ref="AI95:AI98"/>
    <mergeCell ref="AJ95:AJ98"/>
    <mergeCell ref="AK95:AK98"/>
    <mergeCell ref="AL95:AL98"/>
    <mergeCell ref="AM95:AM98"/>
    <mergeCell ref="AN95:AN98"/>
    <mergeCell ref="A99:A102"/>
    <mergeCell ref="B99:B102"/>
    <mergeCell ref="C99:C102"/>
    <mergeCell ref="D99:D102"/>
    <mergeCell ref="E99:E102"/>
    <mergeCell ref="F99:F102"/>
    <mergeCell ref="G99:G102"/>
    <mergeCell ref="H99:H102"/>
    <mergeCell ref="I99:I102"/>
    <mergeCell ref="J99:J102"/>
    <mergeCell ref="K99:K102"/>
    <mergeCell ref="L99:L102"/>
    <mergeCell ref="M99:M102"/>
    <mergeCell ref="N99:N102"/>
    <mergeCell ref="O99:O102"/>
    <mergeCell ref="P99:P102"/>
    <mergeCell ref="Q99:Q102"/>
    <mergeCell ref="R99:R102"/>
    <mergeCell ref="S99:S102"/>
    <mergeCell ref="T99:T102"/>
    <mergeCell ref="U99:U102"/>
    <mergeCell ref="V99:V102"/>
    <mergeCell ref="W99:W102"/>
    <mergeCell ref="X99:X102"/>
    <mergeCell ref="Y99:Y102"/>
    <mergeCell ref="Z99:Z102"/>
    <mergeCell ref="AA99:AA102"/>
    <mergeCell ref="AB99:AB102"/>
    <mergeCell ref="AC99:AC102"/>
    <mergeCell ref="AD99:AD102"/>
    <mergeCell ref="AE99:AE102"/>
    <mergeCell ref="AF99:AF102"/>
    <mergeCell ref="AG99:AG102"/>
    <mergeCell ref="AH99:AH102"/>
    <mergeCell ref="AI99:AI102"/>
    <mergeCell ref="AJ99:AJ102"/>
    <mergeCell ref="AK99:AK102"/>
    <mergeCell ref="AL99:AL102"/>
    <mergeCell ref="AM99:AM102"/>
    <mergeCell ref="AN99:AN102"/>
    <mergeCell ref="A103:A106"/>
    <mergeCell ref="B103:B106"/>
    <mergeCell ref="C103:C106"/>
    <mergeCell ref="D103:D106"/>
    <mergeCell ref="E103:E106"/>
    <mergeCell ref="F103:F106"/>
    <mergeCell ref="G103:G106"/>
    <mergeCell ref="H103:H106"/>
    <mergeCell ref="I103:I106"/>
    <mergeCell ref="J103:J106"/>
    <mergeCell ref="K103:K106"/>
    <mergeCell ref="L103:L106"/>
    <mergeCell ref="M103:M106"/>
    <mergeCell ref="N103:N106"/>
    <mergeCell ref="O103:O106"/>
    <mergeCell ref="P103:P106"/>
    <mergeCell ref="Q103:Q106"/>
    <mergeCell ref="R103:R106"/>
    <mergeCell ref="S103:S106"/>
    <mergeCell ref="T103:T106"/>
    <mergeCell ref="U103:U106"/>
    <mergeCell ref="V103:V106"/>
    <mergeCell ref="W103:W106"/>
    <mergeCell ref="X103:X106"/>
    <mergeCell ref="Y103:Y106"/>
    <mergeCell ref="Z103:Z106"/>
    <mergeCell ref="AA103:AA106"/>
    <mergeCell ref="AB103:AB106"/>
    <mergeCell ref="AC103:AC106"/>
    <mergeCell ref="AD103:AD106"/>
    <mergeCell ref="AE103:AE106"/>
    <mergeCell ref="AF103:AF106"/>
    <mergeCell ref="AG103:AG106"/>
    <mergeCell ref="AH103:AH106"/>
    <mergeCell ref="AI103:AI106"/>
    <mergeCell ref="AJ103:AJ106"/>
    <mergeCell ref="AK103:AK106"/>
    <mergeCell ref="AL103:AL106"/>
    <mergeCell ref="AM103:AM106"/>
    <mergeCell ref="AN103:AN106"/>
    <mergeCell ref="A107:A110"/>
    <mergeCell ref="B107:B110"/>
    <mergeCell ref="C107:C110"/>
    <mergeCell ref="D107:D110"/>
    <mergeCell ref="E107:E110"/>
    <mergeCell ref="F107:F110"/>
    <mergeCell ref="G107:G110"/>
    <mergeCell ref="H107:H110"/>
    <mergeCell ref="I107:I110"/>
    <mergeCell ref="J107:J110"/>
    <mergeCell ref="K107:K110"/>
    <mergeCell ref="L107:L110"/>
    <mergeCell ref="M107:M110"/>
    <mergeCell ref="N107:N110"/>
    <mergeCell ref="O107:O110"/>
    <mergeCell ref="P107:P110"/>
    <mergeCell ref="Q107:Q110"/>
    <mergeCell ref="R107:R110"/>
    <mergeCell ref="S107:S110"/>
    <mergeCell ref="T107:T110"/>
    <mergeCell ref="U107:U110"/>
    <mergeCell ref="V107:V110"/>
    <mergeCell ref="W107:W110"/>
    <mergeCell ref="X107:X110"/>
    <mergeCell ref="Y107:Y110"/>
    <mergeCell ref="Z107:Z110"/>
    <mergeCell ref="AA107:AA110"/>
    <mergeCell ref="AB107:AB110"/>
    <mergeCell ref="AC107:AC110"/>
    <mergeCell ref="AD107:AD110"/>
    <mergeCell ref="AE107:AE110"/>
    <mergeCell ref="AF107:AF110"/>
    <mergeCell ref="AG107:AG110"/>
    <mergeCell ref="AH107:AH110"/>
    <mergeCell ref="AI107:AI110"/>
    <mergeCell ref="AJ107:AJ110"/>
    <mergeCell ref="AK107:AK110"/>
    <mergeCell ref="AL107:AL110"/>
    <mergeCell ref="AM107:AM110"/>
    <mergeCell ref="AN107:AN110"/>
    <mergeCell ref="A111:A114"/>
    <mergeCell ref="B111:B114"/>
    <mergeCell ref="C111:C114"/>
    <mergeCell ref="D111:D114"/>
    <mergeCell ref="E111:E114"/>
    <mergeCell ref="F111:F114"/>
    <mergeCell ref="G111:G114"/>
    <mergeCell ref="H111:H114"/>
    <mergeCell ref="I111:I114"/>
    <mergeCell ref="J111:J114"/>
    <mergeCell ref="K111:K114"/>
    <mergeCell ref="L111:L114"/>
    <mergeCell ref="M111:M114"/>
    <mergeCell ref="N111:N114"/>
    <mergeCell ref="O111:O114"/>
    <mergeCell ref="P111:P114"/>
    <mergeCell ref="Q111:Q114"/>
    <mergeCell ref="R111:R114"/>
    <mergeCell ref="S111:S114"/>
    <mergeCell ref="T111:T114"/>
    <mergeCell ref="U111:U114"/>
    <mergeCell ref="V111:V114"/>
    <mergeCell ref="W111:W114"/>
    <mergeCell ref="X111:X114"/>
    <mergeCell ref="Y111:Y114"/>
    <mergeCell ref="Z111:Z114"/>
    <mergeCell ref="AA111:AA114"/>
    <mergeCell ref="AB111:AB114"/>
    <mergeCell ref="AC111:AC114"/>
    <mergeCell ref="AD111:AD114"/>
    <mergeCell ref="AE111:AE114"/>
    <mergeCell ref="AF111:AF114"/>
    <mergeCell ref="AG111:AG114"/>
    <mergeCell ref="AH111:AH114"/>
    <mergeCell ref="AI111:AI114"/>
    <mergeCell ref="AJ111:AJ114"/>
    <mergeCell ref="AK111:AK114"/>
    <mergeCell ref="AL111:AL114"/>
    <mergeCell ref="AM111:AM114"/>
    <mergeCell ref="AN111:AN114"/>
    <mergeCell ref="A115:A118"/>
    <mergeCell ref="B115:B118"/>
    <mergeCell ref="C115:C118"/>
    <mergeCell ref="D115:D118"/>
    <mergeCell ref="E115:E118"/>
    <mergeCell ref="F115:F118"/>
    <mergeCell ref="G115:G118"/>
    <mergeCell ref="H115:H118"/>
    <mergeCell ref="I115:I118"/>
    <mergeCell ref="J115:J118"/>
    <mergeCell ref="K115:K118"/>
    <mergeCell ref="L115:L118"/>
    <mergeCell ref="M115:M118"/>
    <mergeCell ref="N115:N118"/>
    <mergeCell ref="O115:O118"/>
    <mergeCell ref="P115:P118"/>
    <mergeCell ref="Q115:Q118"/>
    <mergeCell ref="R115:R118"/>
    <mergeCell ref="S115:S118"/>
    <mergeCell ref="T115:T118"/>
    <mergeCell ref="U115:U118"/>
    <mergeCell ref="V115:V118"/>
    <mergeCell ref="W115:W118"/>
    <mergeCell ref="X115:X118"/>
    <mergeCell ref="Y115:Y118"/>
    <mergeCell ref="Z115:Z118"/>
    <mergeCell ref="AA115:AA118"/>
    <mergeCell ref="AB115:AB118"/>
    <mergeCell ref="AC115:AC118"/>
    <mergeCell ref="AD115:AD118"/>
    <mergeCell ref="AE115:AE118"/>
    <mergeCell ref="AF115:AF118"/>
    <mergeCell ref="AG115:AG118"/>
    <mergeCell ref="AH115:AH118"/>
    <mergeCell ref="AI115:AI118"/>
    <mergeCell ref="AJ115:AJ118"/>
    <mergeCell ref="AK115:AK118"/>
    <mergeCell ref="AL115:AL118"/>
    <mergeCell ref="AM115:AM118"/>
    <mergeCell ref="AN115:AN118"/>
    <mergeCell ref="A119:A122"/>
    <mergeCell ref="B119:B122"/>
    <mergeCell ref="C119:C122"/>
    <mergeCell ref="D119:D122"/>
    <mergeCell ref="E119:E122"/>
    <mergeCell ref="F119:F122"/>
    <mergeCell ref="G119:G122"/>
    <mergeCell ref="H119:H122"/>
    <mergeCell ref="I119:I122"/>
    <mergeCell ref="J119:J122"/>
    <mergeCell ref="K119:K122"/>
    <mergeCell ref="L119:L122"/>
    <mergeCell ref="M119:M122"/>
    <mergeCell ref="N119:N122"/>
    <mergeCell ref="O119:O122"/>
    <mergeCell ref="P119:P122"/>
    <mergeCell ref="Q119:Q122"/>
    <mergeCell ref="R119:R122"/>
    <mergeCell ref="S119:S122"/>
    <mergeCell ref="T119:T122"/>
    <mergeCell ref="U119:U122"/>
    <mergeCell ref="V119:V122"/>
    <mergeCell ref="W119:W122"/>
    <mergeCell ref="X119:X122"/>
    <mergeCell ref="Y119:Y122"/>
    <mergeCell ref="Z119:Z122"/>
    <mergeCell ref="AA119:AA122"/>
    <mergeCell ref="AB119:AB122"/>
    <mergeCell ref="AC119:AC122"/>
    <mergeCell ref="AD119:AD122"/>
    <mergeCell ref="AE119:AE122"/>
    <mergeCell ref="AF119:AF122"/>
    <mergeCell ref="AG119:AG122"/>
    <mergeCell ref="AH119:AH122"/>
    <mergeCell ref="AI119:AI122"/>
    <mergeCell ref="AJ119:AJ122"/>
    <mergeCell ref="AK119:AK122"/>
    <mergeCell ref="AL119:AL122"/>
    <mergeCell ref="AM119:AM122"/>
    <mergeCell ref="AN119:AN122"/>
    <mergeCell ref="A123:A126"/>
    <mergeCell ref="B123:B126"/>
    <mergeCell ref="C123:C126"/>
    <mergeCell ref="D123:D126"/>
    <mergeCell ref="E123:E126"/>
    <mergeCell ref="F123:F126"/>
    <mergeCell ref="G123:G126"/>
    <mergeCell ref="H123:H126"/>
    <mergeCell ref="I123:I126"/>
    <mergeCell ref="J123:J126"/>
    <mergeCell ref="K123:K126"/>
    <mergeCell ref="L123:L126"/>
    <mergeCell ref="M123:M126"/>
    <mergeCell ref="N123:N126"/>
    <mergeCell ref="O123:O126"/>
    <mergeCell ref="P123:P126"/>
    <mergeCell ref="Q123:Q126"/>
    <mergeCell ref="R123:R126"/>
    <mergeCell ref="S123:S126"/>
    <mergeCell ref="T123:T126"/>
    <mergeCell ref="U123:U126"/>
    <mergeCell ref="V123:V126"/>
    <mergeCell ref="W123:W126"/>
    <mergeCell ref="X123:X126"/>
    <mergeCell ref="Y123:Y126"/>
    <mergeCell ref="Z123:Z126"/>
    <mergeCell ref="AA123:AA126"/>
    <mergeCell ref="AB123:AB126"/>
    <mergeCell ref="AC123:AC126"/>
    <mergeCell ref="AD123:AD126"/>
    <mergeCell ref="AE123:AE126"/>
    <mergeCell ref="AF123:AF126"/>
    <mergeCell ref="AG123:AG126"/>
    <mergeCell ref="AH123:AH126"/>
    <mergeCell ref="AI123:AI126"/>
    <mergeCell ref="AJ123:AJ126"/>
    <mergeCell ref="AK123:AK126"/>
    <mergeCell ref="AL123:AL126"/>
    <mergeCell ref="AM123:AM126"/>
    <mergeCell ref="AN123:AN126"/>
    <mergeCell ref="A127:A130"/>
    <mergeCell ref="B127:B130"/>
    <mergeCell ref="C127:C130"/>
    <mergeCell ref="D127:D130"/>
    <mergeCell ref="E127:E130"/>
    <mergeCell ref="F127:F130"/>
    <mergeCell ref="G127:G130"/>
    <mergeCell ref="H127:H130"/>
    <mergeCell ref="I127:I130"/>
    <mergeCell ref="J127:J130"/>
    <mergeCell ref="K127:K130"/>
    <mergeCell ref="L127:L130"/>
    <mergeCell ref="M127:M130"/>
    <mergeCell ref="N127:N130"/>
    <mergeCell ref="O127:O130"/>
    <mergeCell ref="P127:P130"/>
    <mergeCell ref="Q127:Q130"/>
    <mergeCell ref="R127:R130"/>
    <mergeCell ref="S127:S130"/>
    <mergeCell ref="T127:T130"/>
    <mergeCell ref="U127:U130"/>
    <mergeCell ref="V127:V130"/>
    <mergeCell ref="W127:W130"/>
    <mergeCell ref="X127:X130"/>
    <mergeCell ref="Y127:Y130"/>
    <mergeCell ref="Z127:Z130"/>
    <mergeCell ref="AA127:AA130"/>
    <mergeCell ref="AB127:AB130"/>
    <mergeCell ref="AC127:AC130"/>
    <mergeCell ref="AD127:AD130"/>
    <mergeCell ref="AE127:AE130"/>
    <mergeCell ref="AF127:AF130"/>
    <mergeCell ref="AG127:AG130"/>
    <mergeCell ref="AH127:AH130"/>
    <mergeCell ref="AI127:AI130"/>
    <mergeCell ref="AJ127:AJ130"/>
    <mergeCell ref="AK127:AK130"/>
    <mergeCell ref="AL127:AL130"/>
    <mergeCell ref="AM127:AM130"/>
    <mergeCell ref="AN127:AN130"/>
    <mergeCell ref="A131:A134"/>
    <mergeCell ref="B131:B134"/>
    <mergeCell ref="C131:C134"/>
    <mergeCell ref="D131:D134"/>
    <mergeCell ref="E131:E134"/>
    <mergeCell ref="F131:F134"/>
    <mergeCell ref="G131:G134"/>
    <mergeCell ref="H131:H134"/>
    <mergeCell ref="I131:I134"/>
    <mergeCell ref="J131:J134"/>
    <mergeCell ref="K131:K134"/>
    <mergeCell ref="L131:L134"/>
    <mergeCell ref="M131:M134"/>
    <mergeCell ref="N131:N134"/>
    <mergeCell ref="O131:O134"/>
    <mergeCell ref="P131:P134"/>
    <mergeCell ref="Q131:Q134"/>
    <mergeCell ref="R131:R134"/>
    <mergeCell ref="S131:S134"/>
    <mergeCell ref="T131:T134"/>
    <mergeCell ref="U131:U134"/>
    <mergeCell ref="V131:V134"/>
    <mergeCell ref="W131:W134"/>
    <mergeCell ref="X131:X134"/>
    <mergeCell ref="Y131:Y134"/>
    <mergeCell ref="Z131:Z134"/>
    <mergeCell ref="AA131:AA134"/>
    <mergeCell ref="AB131:AB134"/>
    <mergeCell ref="AC131:AC134"/>
    <mergeCell ref="AD131:AD134"/>
    <mergeCell ref="AE131:AE134"/>
    <mergeCell ref="AF131:AF134"/>
    <mergeCell ref="AG131:AG134"/>
    <mergeCell ref="AH131:AH134"/>
    <mergeCell ref="AI131:AI134"/>
    <mergeCell ref="AJ131:AJ134"/>
    <mergeCell ref="AK131:AK134"/>
    <mergeCell ref="AL131:AL134"/>
    <mergeCell ref="AM131:AM134"/>
    <mergeCell ref="AN131:AN134"/>
    <mergeCell ref="D135:P136"/>
    <mergeCell ref="Q135:Q136"/>
    <mergeCell ref="R135:Z136"/>
    <mergeCell ref="AA135:AA136"/>
    <mergeCell ref="AB135:AB136"/>
    <mergeCell ref="AC135:AC136"/>
    <mergeCell ref="AD135:AD136"/>
    <mergeCell ref="AE135:AE138"/>
    <mergeCell ref="AF135:AF138"/>
    <mergeCell ref="AG135:AG138"/>
    <mergeCell ref="AH135:AH138"/>
    <mergeCell ref="AI135:AI138"/>
    <mergeCell ref="AJ135:AJ138"/>
    <mergeCell ref="AK135:AK138"/>
    <mergeCell ref="AL135:AL138"/>
    <mergeCell ref="AM135:AM138"/>
    <mergeCell ref="AN135:AN138"/>
    <mergeCell ref="E139:I139"/>
    <mergeCell ref="AF139:AF145"/>
    <mergeCell ref="AH139:AH145"/>
    <mergeCell ref="AJ139:AJ145"/>
    <mergeCell ref="AL139:AL145"/>
    <mergeCell ref="AN139:AN145"/>
    <mergeCell ref="E141:L141"/>
    <mergeCell ref="E142:H142"/>
    <mergeCell ref="E144:L144"/>
    <mergeCell ref="E148:I148"/>
    <mergeCell ref="E150:I150"/>
    <mergeCell ref="E152:J152"/>
    <mergeCell ref="E154:G154"/>
    <mergeCell ref="E158:G158"/>
    <mergeCell ref="E160:H160"/>
    <mergeCell ref="E162:I162"/>
    <mergeCell ref="E164:H164"/>
    <mergeCell ref="E166:I166"/>
    <mergeCell ref="E170:G170"/>
    <mergeCell ref="E172:I172"/>
    <mergeCell ref="E174:G174"/>
    <mergeCell ref="E176:G176"/>
    <mergeCell ref="E178:G178"/>
    <mergeCell ref="E180:G180"/>
    <mergeCell ref="E183:J183"/>
    <mergeCell ref="E185:G185"/>
    <mergeCell ref="E187:G187"/>
    <mergeCell ref="E189:G189"/>
    <mergeCell ref="E191:G191"/>
    <mergeCell ref="E193:H193"/>
    <mergeCell ref="E197:G197"/>
    <mergeCell ref="E199:I199"/>
    <mergeCell ref="E201:G201"/>
    <mergeCell ref="E203:G203"/>
    <mergeCell ref="E204:G204"/>
    <mergeCell ref="E206:G206"/>
    <mergeCell ref="E208:G208"/>
    <mergeCell ref="E209:H209"/>
    <mergeCell ref="E211:G211"/>
    <mergeCell ref="E213:G213"/>
    <mergeCell ref="E214:H214"/>
    <mergeCell ref="E216:G216"/>
    <mergeCell ref="E218:G218"/>
    <mergeCell ref="E219:H219"/>
    <mergeCell ref="E223:F223"/>
    <mergeCell ref="E226:G226"/>
    <mergeCell ref="E230:G230"/>
    <mergeCell ref="E232:J232"/>
    <mergeCell ref="E233:G233"/>
    <mergeCell ref="E234:Q234"/>
    <mergeCell ref="E236:U236"/>
    <mergeCell ref="E239:H239"/>
    <mergeCell ref="E241:L241"/>
    <mergeCell ref="E242:J242"/>
    <mergeCell ref="E244:L244"/>
    <mergeCell ref="E245:J245"/>
    <mergeCell ref="E249:F249"/>
    <mergeCell ref="E251:G251"/>
    <mergeCell ref="E252:Q252"/>
    <mergeCell ref="E254:J254"/>
    <mergeCell ref="E256:M256"/>
    <mergeCell ref="E257:H257"/>
    <mergeCell ref="E262:AA262"/>
    <mergeCell ref="E264:I26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486</TotalTime>
  <Application>Collabora_Office/25.04.7.3$Android_ARM_EABI LibreOffice_project/4ad7ba32450f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2026-01-08T11:04:00Z</dcterms:created>
  <dc:creator/>
  <dc:description/>
  <dc:language>cs-CZ</dc:language>
  <cp:lastModifiedBy/>
  <dcterms:modified xsi:type="dcterms:W3CDTF">2026-01-08T23:49:37Z</dcterms:modified>
  <cp:revision>417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